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A052E8CC-F061-4C53-94EB-34A1DA695085}" xr6:coauthVersionLast="47" xr6:coauthVersionMax="47" xr10:uidLastSave="{00000000-0000-0000-0000-000000000000}"/>
  <bookViews>
    <workbookView xWindow="-28920" yWindow="-120" windowWidth="29040" windowHeight="15720" activeTab="7" xr2:uid="{00000000-000D-0000-FFFF-FFFF00000000}"/>
  </bookViews>
  <sheets>
    <sheet name="2026.01" sheetId="6" r:id="rId1"/>
    <sheet name="2026.02" sheetId="7" r:id="rId2"/>
    <sheet name="2026. 03." sheetId="8" r:id="rId3"/>
    <sheet name="2026. 04." sheetId="9" r:id="rId4"/>
    <sheet name="2026.05" sheetId="10" r:id="rId5"/>
    <sheet name="2026. 06." sheetId="11" r:id="rId6"/>
    <sheet name="2026. 07." sheetId="13" r:id="rId7"/>
    <sheet name="2026. 08. " sheetId="15" r:id="rId8"/>
  </sheets>
  <externalReferences>
    <externalReference r:id="rId9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8" i="13" l="1"/>
  <c r="E22" i="15"/>
  <c r="H22" i="15" s="1"/>
  <c r="E21" i="15"/>
  <c r="H21" i="15" s="1"/>
  <c r="E20" i="15"/>
  <c r="H20" i="15" s="1"/>
  <c r="E19" i="15"/>
  <c r="H19" i="15" s="1"/>
  <c r="E18" i="15"/>
  <c r="H18" i="15" s="1"/>
  <c r="E17" i="15"/>
  <c r="H17" i="15" s="1"/>
  <c r="E16" i="15"/>
  <c r="H16" i="15" s="1"/>
  <c r="E15" i="15"/>
  <c r="H15" i="15" s="1"/>
  <c r="E14" i="15"/>
  <c r="H14" i="15" s="1"/>
  <c r="E13" i="15"/>
  <c r="H13" i="15" s="1"/>
  <c r="E12" i="15"/>
  <c r="H12" i="15" s="1"/>
  <c r="E11" i="15"/>
  <c r="H11" i="15" s="1"/>
  <c r="E10" i="15"/>
  <c r="H10" i="15" s="1"/>
  <c r="E9" i="15"/>
  <c r="H9" i="15" s="1"/>
  <c r="E8" i="15"/>
  <c r="H8" i="15" s="1"/>
  <c r="E7" i="15"/>
  <c r="H7" i="15" s="1"/>
  <c r="E6" i="15"/>
  <c r="H6" i="15" s="1"/>
  <c r="E4" i="15"/>
  <c r="H4" i="15" s="1"/>
  <c r="E26" i="13"/>
  <c r="H26" i="13" s="1"/>
  <c r="E21" i="13"/>
  <c r="H21" i="13" s="1"/>
  <c r="E25" i="13"/>
  <c r="H25" i="13" s="1"/>
  <c r="E20" i="13"/>
  <c r="H20" i="13" s="1"/>
  <c r="E24" i="13"/>
  <c r="H24" i="13" s="1"/>
  <c r="E19" i="13"/>
  <c r="H19" i="13" s="1"/>
  <c r="E23" i="13"/>
  <c r="H23" i="13" s="1"/>
  <c r="E18" i="13"/>
  <c r="H18" i="13" s="1"/>
  <c r="E17" i="13"/>
  <c r="H17" i="13" s="1"/>
  <c r="H12" i="13"/>
  <c r="E12" i="13"/>
  <c r="H10" i="13"/>
  <c r="E16" i="13"/>
  <c r="H16" i="13" s="1"/>
  <c r="E15" i="13"/>
  <c r="H15" i="13" s="1"/>
  <c r="E14" i="13"/>
  <c r="H14" i="13" s="1"/>
  <c r="E13" i="13"/>
  <c r="H13" i="13" s="1"/>
  <c r="E11" i="13"/>
  <c r="H11" i="13" s="1"/>
  <c r="E10" i="13"/>
  <c r="E9" i="13"/>
  <c r="H9" i="13" s="1"/>
  <c r="E8" i="13"/>
  <c r="H8" i="13" s="1"/>
  <c r="E7" i="13"/>
  <c r="H7" i="13" s="1"/>
  <c r="G27" i="13"/>
  <c r="F27" i="13"/>
  <c r="E6" i="13"/>
  <c r="H6" i="13" s="1"/>
  <c r="E5" i="13"/>
  <c r="E4" i="13"/>
  <c r="H4" i="13" s="1"/>
  <c r="H26" i="10"/>
  <c r="E24" i="11"/>
  <c r="H24" i="11" s="1"/>
  <c r="H18" i="11"/>
  <c r="H19" i="11"/>
  <c r="H20" i="11"/>
  <c r="H23" i="11"/>
  <c r="E4" i="9"/>
  <c r="H27" i="8"/>
  <c r="H26" i="8"/>
  <c r="E4" i="11"/>
  <c r="H4" i="11" s="1"/>
  <c r="G26" i="11"/>
  <c r="F26" i="11"/>
  <c r="E25" i="11"/>
  <c r="H25" i="11" s="1"/>
  <c r="E23" i="11"/>
  <c r="E22" i="11"/>
  <c r="H22" i="11" s="1"/>
  <c r="E21" i="11"/>
  <c r="H21" i="11" s="1"/>
  <c r="E20" i="11"/>
  <c r="E19" i="11"/>
  <c r="E18" i="11"/>
  <c r="E17" i="11"/>
  <c r="H17" i="11" s="1"/>
  <c r="E16" i="11"/>
  <c r="H16" i="11" s="1"/>
  <c r="E15" i="11"/>
  <c r="H15" i="11" s="1"/>
  <c r="E14" i="11"/>
  <c r="H14" i="11" s="1"/>
  <c r="E13" i="11"/>
  <c r="H13" i="11" s="1"/>
  <c r="E12" i="11"/>
  <c r="H12" i="11" s="1"/>
  <c r="E11" i="11"/>
  <c r="H11" i="11" s="1"/>
  <c r="E10" i="11"/>
  <c r="H10" i="11" s="1"/>
  <c r="E9" i="11"/>
  <c r="H9" i="11" s="1"/>
  <c r="E8" i="11"/>
  <c r="H8" i="11" s="1"/>
  <c r="E7" i="11"/>
  <c r="H7" i="11" s="1"/>
  <c r="E6" i="11"/>
  <c r="H6" i="11" s="1"/>
  <c r="E5" i="11"/>
  <c r="H5" i="11" s="1"/>
  <c r="G25" i="10"/>
  <c r="F25" i="10"/>
  <c r="E24" i="10"/>
  <c r="H24" i="10" s="1"/>
  <c r="E23" i="10"/>
  <c r="H23" i="10" s="1"/>
  <c r="E22" i="10"/>
  <c r="H22" i="10" s="1"/>
  <c r="E21" i="10"/>
  <c r="H21" i="10" s="1"/>
  <c r="H20" i="10"/>
  <c r="E19" i="10"/>
  <c r="H19" i="10" s="1"/>
  <c r="E18" i="10"/>
  <c r="H18" i="10" s="1"/>
  <c r="E17" i="10"/>
  <c r="H17" i="10" s="1"/>
  <c r="E16" i="10"/>
  <c r="H16" i="10" s="1"/>
  <c r="E15" i="10"/>
  <c r="H15" i="10" s="1"/>
  <c r="E14" i="10"/>
  <c r="H14" i="10" s="1"/>
  <c r="E13" i="10"/>
  <c r="H13" i="10" s="1"/>
  <c r="E12" i="10"/>
  <c r="H12" i="10" s="1"/>
  <c r="E11" i="10"/>
  <c r="H11" i="10" s="1"/>
  <c r="E10" i="10"/>
  <c r="H10" i="10" s="1"/>
  <c r="E9" i="10"/>
  <c r="H9" i="10" s="1"/>
  <c r="E8" i="10"/>
  <c r="H8" i="10" s="1"/>
  <c r="E7" i="10"/>
  <c r="H7" i="10" s="1"/>
  <c r="E6" i="10"/>
  <c r="H6" i="10" s="1"/>
  <c r="E5" i="10"/>
  <c r="H5" i="10" s="1"/>
  <c r="E4" i="10"/>
  <c r="G26" i="9"/>
  <c r="F26" i="9"/>
  <c r="E25" i="9"/>
  <c r="H25" i="9" s="1"/>
  <c r="E24" i="9"/>
  <c r="H24" i="9" s="1"/>
  <c r="E23" i="9"/>
  <c r="H23" i="9" s="1"/>
  <c r="E22" i="9"/>
  <c r="H22" i="9" s="1"/>
  <c r="E21" i="9"/>
  <c r="H21" i="9" s="1"/>
  <c r="E20" i="9"/>
  <c r="H20" i="9" s="1"/>
  <c r="E19" i="9"/>
  <c r="H19" i="9" s="1"/>
  <c r="E18" i="9"/>
  <c r="H18" i="9" s="1"/>
  <c r="E17" i="9"/>
  <c r="H17" i="9" s="1"/>
  <c r="E16" i="9"/>
  <c r="H16" i="9" s="1"/>
  <c r="E15" i="9"/>
  <c r="H15" i="9" s="1"/>
  <c r="E14" i="9"/>
  <c r="H14" i="9" s="1"/>
  <c r="E13" i="9"/>
  <c r="H13" i="9" s="1"/>
  <c r="E12" i="9"/>
  <c r="H12" i="9" s="1"/>
  <c r="E11" i="9"/>
  <c r="H11" i="9" s="1"/>
  <c r="E10" i="9"/>
  <c r="H10" i="9" s="1"/>
  <c r="E9" i="9"/>
  <c r="H9" i="9" s="1"/>
  <c r="E8" i="9"/>
  <c r="H8" i="9" s="1"/>
  <c r="E7" i="9"/>
  <c r="H7" i="9" s="1"/>
  <c r="E6" i="9"/>
  <c r="H6" i="9" s="1"/>
  <c r="E5" i="9"/>
  <c r="H5" i="9" s="1"/>
  <c r="H4" i="9"/>
  <c r="E27" i="13" l="1"/>
  <c r="H5" i="13"/>
  <c r="H27" i="13" s="1"/>
  <c r="H26" i="11"/>
  <c r="E26" i="11"/>
  <c r="H26" i="9"/>
  <c r="E25" i="10"/>
  <c r="H4" i="10"/>
  <c r="H25" i="10" s="1"/>
  <c r="E26" i="9"/>
  <c r="H27" i="11" l="1"/>
  <c r="E24" i="8"/>
  <c r="H24" i="8" s="1"/>
  <c r="E25" i="8"/>
  <c r="H25" i="8"/>
  <c r="G26" i="8"/>
  <c r="F26" i="8"/>
  <c r="E23" i="8"/>
  <c r="H23" i="8" s="1"/>
  <c r="E22" i="8"/>
  <c r="H22" i="8" s="1"/>
  <c r="E21" i="8"/>
  <c r="H21" i="8" s="1"/>
  <c r="E20" i="8"/>
  <c r="H20" i="8" s="1"/>
  <c r="E19" i="8"/>
  <c r="H19" i="8" s="1"/>
  <c r="E18" i="8"/>
  <c r="H18" i="8" s="1"/>
  <c r="E17" i="8"/>
  <c r="H17" i="8" s="1"/>
  <c r="E16" i="8"/>
  <c r="H16" i="8" s="1"/>
  <c r="E15" i="8"/>
  <c r="H15" i="8" s="1"/>
  <c r="E14" i="8"/>
  <c r="H14" i="8" s="1"/>
  <c r="E13" i="8"/>
  <c r="H13" i="8" s="1"/>
  <c r="E12" i="8"/>
  <c r="H12" i="8" s="1"/>
  <c r="E11" i="8"/>
  <c r="H11" i="8" s="1"/>
  <c r="E10" i="8"/>
  <c r="H10" i="8" s="1"/>
  <c r="E9" i="8"/>
  <c r="H9" i="8" s="1"/>
  <c r="E8" i="8"/>
  <c r="H8" i="8" s="1"/>
  <c r="E7" i="8"/>
  <c r="H7" i="8" s="1"/>
  <c r="E6" i="8"/>
  <c r="H6" i="8" s="1"/>
  <c r="E5" i="8"/>
  <c r="H5" i="8" s="1"/>
  <c r="E4" i="8"/>
  <c r="H4" i="8" s="1"/>
  <c r="G24" i="7"/>
  <c r="F24" i="7"/>
  <c r="E23" i="7"/>
  <c r="H23" i="7" s="1"/>
  <c r="E22" i="7"/>
  <c r="H22" i="7" s="1"/>
  <c r="E21" i="7"/>
  <c r="H21" i="7" s="1"/>
  <c r="E20" i="7"/>
  <c r="H20" i="7" s="1"/>
  <c r="E19" i="7"/>
  <c r="H19" i="7" s="1"/>
  <c r="E18" i="7"/>
  <c r="H18" i="7" s="1"/>
  <c r="E17" i="7"/>
  <c r="H17" i="7" s="1"/>
  <c r="E16" i="7"/>
  <c r="H16" i="7" s="1"/>
  <c r="E15" i="7"/>
  <c r="H15" i="7" s="1"/>
  <c r="E14" i="7"/>
  <c r="H14" i="7" s="1"/>
  <c r="E13" i="7"/>
  <c r="H13" i="7" s="1"/>
  <c r="E12" i="7"/>
  <c r="H12" i="7" s="1"/>
  <c r="E11" i="7"/>
  <c r="H11" i="7" s="1"/>
  <c r="E10" i="7"/>
  <c r="H10" i="7" s="1"/>
  <c r="E9" i="7"/>
  <c r="H9" i="7" s="1"/>
  <c r="E8" i="7"/>
  <c r="H8" i="7" s="1"/>
  <c r="E7" i="7"/>
  <c r="H7" i="7" s="1"/>
  <c r="E6" i="7"/>
  <c r="H6" i="7" s="1"/>
  <c r="E5" i="7"/>
  <c r="H5" i="7" s="1"/>
  <c r="E4" i="7"/>
  <c r="E26" i="8" l="1"/>
  <c r="E24" i="7"/>
  <c r="H4" i="7"/>
  <c r="H24" i="7" s="1"/>
  <c r="E14" i="6"/>
  <c r="H14" i="6" s="1"/>
  <c r="E10" i="6"/>
  <c r="H10" i="6" s="1"/>
  <c r="G26" i="6"/>
  <c r="F26" i="6"/>
  <c r="E25" i="6"/>
  <c r="H25" i="6" s="1"/>
  <c r="E24" i="6"/>
  <c r="H24" i="6" s="1"/>
  <c r="E23" i="6"/>
  <c r="H23" i="6" s="1"/>
  <c r="E22" i="6"/>
  <c r="H22" i="6" s="1"/>
  <c r="E21" i="6"/>
  <c r="H21" i="6" s="1"/>
  <c r="E20" i="6"/>
  <c r="H20" i="6" s="1"/>
  <c r="E19" i="6"/>
  <c r="H19" i="6" s="1"/>
  <c r="E18" i="6"/>
  <c r="H18" i="6" s="1"/>
  <c r="E17" i="6"/>
  <c r="H17" i="6" s="1"/>
  <c r="E16" i="6"/>
  <c r="H16" i="6" s="1"/>
  <c r="E15" i="6"/>
  <c r="H15" i="6" s="1"/>
  <c r="E13" i="6"/>
  <c r="H13" i="6" s="1"/>
  <c r="E12" i="6"/>
  <c r="H12" i="6" s="1"/>
  <c r="E11" i="6"/>
  <c r="H11" i="6" s="1"/>
  <c r="E9" i="6"/>
  <c r="H9" i="6" s="1"/>
  <c r="E8" i="6"/>
  <c r="H8" i="6" s="1"/>
  <c r="E7" i="6"/>
  <c r="H7" i="6" s="1"/>
  <c r="E6" i="6"/>
  <c r="H6" i="6" s="1"/>
  <c r="E5" i="6"/>
  <c r="H5" i="6" s="1"/>
  <c r="E4" i="6"/>
  <c r="H4" i="6" s="1"/>
  <c r="H26" i="6" l="1"/>
  <c r="H27" i="6" s="1"/>
  <c r="H25" i="7" s="1"/>
  <c r="E26" i="6"/>
  <c r="H27" i="9"/>
  <c r="E5" i="15"/>
  <c r="H5" i="15" l="1"/>
  <c r="H23" i="15" s="1"/>
</calcChain>
</file>

<file path=xl/sharedStrings.xml><?xml version="1.0" encoding="utf-8"?>
<sst xmlns="http://schemas.openxmlformats.org/spreadsheetml/2006/main" count="643" uniqueCount="55">
  <si>
    <t>Összevont blokkolások</t>
  </si>
  <si>
    <t>Név</t>
  </si>
  <si>
    <t>Dátum</t>
  </si>
  <si>
    <t>Érkezés</t>
  </si>
  <si>
    <t>Távozás</t>
  </si>
  <si>
    <t>összesen óra</t>
  </si>
  <si>
    <t>összesen</t>
  </si>
  <si>
    <t>kimutatás</t>
  </si>
  <si>
    <t>kell (napi szerint)</t>
  </si>
  <si>
    <t xml:space="preserve"> H</t>
  </si>
  <si>
    <t>K</t>
  </si>
  <si>
    <t>SZ</t>
  </si>
  <si>
    <t>CS</t>
  </si>
  <si>
    <t>P</t>
  </si>
  <si>
    <t>kell (mnap szerint)</t>
  </si>
  <si>
    <t>MNAP ÁTH</t>
  </si>
  <si>
    <t>8:00-18:00</t>
  </si>
  <si>
    <t>8:00-16:00</t>
  </si>
  <si>
    <t>8:00-16:30</t>
  </si>
  <si>
    <t>8:00-13:30</t>
  </si>
  <si>
    <t>nap</t>
  </si>
  <si>
    <t>rendes midő óra</t>
  </si>
  <si>
    <t>rendes midő</t>
  </si>
  <si>
    <t>plusz/mínusz napihoz képest</t>
  </si>
  <si>
    <t>mnap</t>
  </si>
  <si>
    <t>midő végéhez képest +</t>
  </si>
  <si>
    <t>miért</t>
  </si>
  <si>
    <t>FSZ</t>
  </si>
  <si>
    <t>Szo</t>
  </si>
  <si>
    <t>összesen előzővel</t>
  </si>
  <si>
    <t>01.02 mnap áthelyezés miatt 18:00-ig</t>
  </si>
  <si>
    <t>01.02 miatt</t>
  </si>
  <si>
    <t>PN</t>
  </si>
  <si>
    <t>dr. Kovács Anna</t>
  </si>
  <si>
    <t>A lista 2026-01-01-tól 2026-01-13-ig tartalmaz adatokat. Eltérés lehetséges a valós blokkolás és a lista között!</t>
  </si>
  <si>
    <t>helyette óra</t>
  </si>
  <si>
    <t>helyette midő
(nincs jegyzői, Kata OK)</t>
  </si>
  <si>
    <t>A lista 2026-02-01-tól 2026-02-28-ig tartalmaz adatokat. Eltérés lehetséges a valós blokkolás és a lista között!</t>
  </si>
  <si>
    <t>H</t>
  </si>
  <si>
    <t>8:00-17:00</t>
  </si>
  <si>
    <t>Dr. Kovács Anna</t>
  </si>
  <si>
    <t>A lista 2026-03-01-tól 2026-03-31-ig tartalmaz adatokat. Eltérés lehetséges a valós blokkolás és a lista között!</t>
  </si>
  <si>
    <t>A lista 2026-04-01-tól 2026-04-30-ig tartalmaz adatokat. Eltérés lehetséges a valós blokkolás és a lista között!</t>
  </si>
  <si>
    <t>HÚSVÉT</t>
  </si>
  <si>
    <t>Kovács Anna</t>
  </si>
  <si>
    <t>ÜNNEP</t>
  </si>
  <si>
    <t>szabadság</t>
  </si>
  <si>
    <t>A lista 2026-06-01-tól 2026-06-30-ig tartalmaz adatokat. Eltérés lehetséges a valós blokkolás és a lista között!</t>
  </si>
  <si>
    <t>2026-0611</t>
  </si>
  <si>
    <t>SZABADSÁG</t>
  </si>
  <si>
    <t>PÜNKÖSD</t>
  </si>
  <si>
    <t>HO</t>
  </si>
  <si>
    <t>A lista 2026-07-01-tól 2026-07-31-ig tartalmaz adatokat. Eltérés lehetséges a valós blokkolás és a lista között!</t>
  </si>
  <si>
    <t>p</t>
  </si>
  <si>
    <t>A lista 2026-08-01-tól 2026-06-30-ig tartalmaz adatokat. Eltérés lehetséges a valós blokkolás és a lista között!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</si>
</sst>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9"/>
      <color rgb="FF000000"/>
      <name val="Arial"/>
      <family val="2"/>
      <charset val="238"/>
    </font>
    <font>
      <b/>
      <sz val="18"/>
      <color rgb="FF000000"/>
      <name val="Arial"/>
      <family val="2"/>
      <charset val="238"/>
    </font>
    <font>
      <b/>
      <sz val="9"/>
      <color rgb="FF000000"/>
      <name val="Arial"/>
      <family val="2"/>
      <charset val="238"/>
    </font>
    <font>
      <b/>
      <sz val="11"/>
      <color theme="1"/>
      <name val="Times New Roman"/>
      <family val="1"/>
      <charset val="238"/>
    </font>
    <font>
      <b/>
      <sz val="11"/>
      <color theme="1"/>
      <name val="Calibri"/>
      <family val="2"/>
      <charset val="238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D0D0D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4" fillId="2" borderId="0" xfId="0" applyFont="1" applyFill="1" applyAlignment="1">
      <alignment horizontal="left" vertical="center" wrapText="1"/>
    </xf>
    <xf numFmtId="0" fontId="11" fillId="3" borderId="0" xfId="0" applyFont="1" applyFill="1" applyAlignment="1">
      <alignment horizontal="left" vertical="center" wrapText="1"/>
    </xf>
    <xf numFmtId="14" fontId="11" fillId="3" borderId="0" xfId="0" applyNumberFormat="1" applyFont="1" applyFill="1" applyAlignment="1">
      <alignment horizontal="left" vertical="center" wrapText="1"/>
    </xf>
    <xf numFmtId="21" fontId="0" fillId="0" borderId="0" xfId="0" applyNumberFormat="1"/>
    <xf numFmtId="21" fontId="11" fillId="3" borderId="0" xfId="0" applyNumberFormat="1" applyFont="1" applyFill="1" applyAlignment="1">
      <alignment horizontal="left" vertical="center" wrapText="1"/>
    </xf>
    <xf numFmtId="21" fontId="11" fillId="4" borderId="0" xfId="0" applyNumberFormat="1" applyFont="1" applyFill="1" applyAlignment="1">
      <alignment horizontal="left" vertical="center" wrapText="1"/>
    </xf>
    <xf numFmtId="0" fontId="14" fillId="5" borderId="0" xfId="0" applyFont="1" applyFill="1" applyAlignment="1">
      <alignment horizontal="left" vertical="center" wrapText="1"/>
    </xf>
    <xf numFmtId="20" fontId="0" fillId="0" borderId="0" xfId="0" applyNumberFormat="1"/>
    <xf numFmtId="0" fontId="11" fillId="5" borderId="0" xfId="0" applyFont="1" applyFill="1" applyAlignment="1">
      <alignment horizontal="left" vertical="center" wrapText="1"/>
    </xf>
    <xf numFmtId="14" fontId="11" fillId="5" borderId="0" xfId="0" applyNumberFormat="1" applyFont="1" applyFill="1" applyAlignment="1">
      <alignment horizontal="left" vertical="center" wrapText="1"/>
    </xf>
    <xf numFmtId="0" fontId="0" fillId="5" borderId="0" xfId="0" applyFill="1"/>
    <xf numFmtId="46" fontId="0" fillId="5" borderId="0" xfId="0" applyNumberFormat="1" applyFill="1"/>
    <xf numFmtId="0" fontId="0" fillId="0" borderId="0" xfId="0" applyAlignment="1">
      <alignment wrapText="1"/>
    </xf>
    <xf numFmtId="0" fontId="15" fillId="0" borderId="0" xfId="0" applyFont="1"/>
    <xf numFmtId="20" fontId="15" fillId="0" borderId="0" xfId="0" applyNumberFormat="1" applyFont="1"/>
    <xf numFmtId="0" fontId="15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 wrapText="1"/>
    </xf>
    <xf numFmtId="0" fontId="15" fillId="0" borderId="1" xfId="0" applyFont="1" applyBorder="1"/>
    <xf numFmtId="0" fontId="14" fillId="6" borderId="0" xfId="0" applyFont="1" applyFill="1" applyAlignment="1">
      <alignment horizontal="left" vertical="center" wrapText="1"/>
    </xf>
    <xf numFmtId="0" fontId="15" fillId="6" borderId="0" xfId="0" applyFont="1" applyFill="1" applyAlignment="1">
      <alignment wrapText="1"/>
    </xf>
    <xf numFmtId="0" fontId="15" fillId="6" borderId="0" xfId="0" applyFont="1" applyFill="1"/>
    <xf numFmtId="14" fontId="11" fillId="8" borderId="0" xfId="0" applyNumberFormat="1" applyFont="1" applyFill="1" applyAlignment="1">
      <alignment horizontal="left" vertical="center" wrapText="1"/>
    </xf>
    <xf numFmtId="0" fontId="15" fillId="0" borderId="2" xfId="0" applyFont="1" applyBorder="1"/>
    <xf numFmtId="0" fontId="10" fillId="0" borderId="0" xfId="0" applyFont="1"/>
    <xf numFmtId="0" fontId="9" fillId="0" borderId="0" xfId="0" applyFont="1"/>
    <xf numFmtId="46" fontId="0" fillId="7" borderId="0" xfId="0" applyNumberFormat="1" applyFill="1"/>
    <xf numFmtId="0" fontId="11" fillId="7" borderId="0" xfId="0" applyFont="1" applyFill="1" applyAlignment="1">
      <alignment horizontal="left" vertical="center" wrapText="1"/>
    </xf>
    <xf numFmtId="0" fontId="8" fillId="0" borderId="0" xfId="0" applyFont="1"/>
    <xf numFmtId="0" fontId="7" fillId="0" borderId="0" xfId="0" applyFont="1"/>
    <xf numFmtId="0" fontId="11" fillId="9" borderId="0" xfId="0" applyFont="1" applyFill="1" applyAlignment="1">
      <alignment horizontal="left" vertical="center" wrapText="1"/>
    </xf>
    <xf numFmtId="14" fontId="11" fillId="9" borderId="0" xfId="0" applyNumberFormat="1" applyFont="1" applyFill="1" applyAlignment="1">
      <alignment horizontal="left" vertical="center" wrapText="1"/>
    </xf>
    <xf numFmtId="21" fontId="11" fillId="9" borderId="0" xfId="0" applyNumberFormat="1" applyFont="1" applyFill="1" applyAlignment="1">
      <alignment horizontal="left" vertical="center" wrapText="1"/>
    </xf>
    <xf numFmtId="21" fontId="0" fillId="9" borderId="0" xfId="0" applyNumberFormat="1" applyFill="1"/>
    <xf numFmtId="20" fontId="0" fillId="9" borderId="0" xfId="0" applyNumberFormat="1" applyFill="1"/>
    <xf numFmtId="0" fontId="6" fillId="0" borderId="0" xfId="0" applyFont="1"/>
    <xf numFmtId="0" fontId="7" fillId="0" borderId="0" xfId="0" applyFont="1" applyAlignment="1">
      <alignment wrapText="1"/>
    </xf>
    <xf numFmtId="21" fontId="11" fillId="0" borderId="0" xfId="0" applyNumberFormat="1" applyFont="1"/>
    <xf numFmtId="0" fontId="5" fillId="0" borderId="0" xfId="0" applyFont="1"/>
    <xf numFmtId="0" fontId="11" fillId="4" borderId="0" xfId="0" applyFont="1" applyFill="1" applyAlignment="1">
      <alignment horizontal="left" vertical="center" wrapText="1"/>
    </xf>
    <xf numFmtId="0" fontId="5" fillId="0" borderId="0" xfId="0" applyFont="1" applyAlignment="1">
      <alignment wrapText="1"/>
    </xf>
    <xf numFmtId="21" fontId="11" fillId="10" borderId="0" xfId="0" applyNumberFormat="1" applyFont="1" applyFill="1" applyAlignment="1">
      <alignment horizontal="left" vertical="center" wrapText="1"/>
    </xf>
    <xf numFmtId="20" fontId="4" fillId="0" borderId="0" xfId="0" applyNumberFormat="1" applyFont="1"/>
    <xf numFmtId="0" fontId="4" fillId="0" borderId="0" xfId="0" applyFont="1"/>
    <xf numFmtId="0" fontId="4" fillId="0" borderId="0" xfId="0" applyFont="1" applyAlignment="1">
      <alignment wrapText="1"/>
    </xf>
    <xf numFmtId="0" fontId="4" fillId="10" borderId="0" xfId="0" applyFont="1" applyFill="1"/>
    <xf numFmtId="46" fontId="0" fillId="11" borderId="0" xfId="0" applyNumberFormat="1" applyFill="1"/>
    <xf numFmtId="0" fontId="3" fillId="0" borderId="0" xfId="0" applyFont="1" applyAlignment="1">
      <alignment wrapText="1"/>
    </xf>
    <xf numFmtId="0" fontId="2" fillId="0" borderId="0" xfId="0" applyFont="1"/>
    <xf numFmtId="0" fontId="1" fillId="0" borderId="0" xfId="0" applyFont="1"/>
    <xf numFmtId="0" fontId="12" fillId="0" borderId="0" xfId="0" applyFont="1" applyAlignment="1">
      <alignment horizontal="center" vertical="center" wrapText="1"/>
    </xf>
    <xf numFmtId="0" fontId="15" fillId="5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 wrapText="1"/>
    </xf>
  </cellXfs>
  <cellStyles count="1">
    <cellStyle name="Normál" xfId="0" builtinId="0"/>
  </cellStyles>
  <dxfs count="3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5" formatCode="h:mm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5" formatCode="h:mm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fill>
        <patternFill patternType="none">
          <fgColor indexed="64"/>
          <bgColor indexed="65"/>
        </patternFill>
      </fill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5" formatCode="h:mm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5" formatCode="h:mm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fill>
        <patternFill patternType="none">
          <fgColor indexed="64"/>
          <bgColor indexed="65"/>
        </patternFill>
      </fill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5" formatCode="h:mm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5" formatCode="h:mm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fill>
        <patternFill patternType="none">
          <fgColor indexed="64"/>
          <bgColor indexed="65"/>
        </patternFill>
      </fill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5" formatCode="h:mm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5" formatCode="h:mm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fill>
        <patternFill patternType="none">
          <fgColor indexed="64"/>
          <bgColor indexed="65"/>
        </patternFill>
      </fill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5" formatCode="h:mm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5" formatCode="h:mm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fill>
        <patternFill patternType="none">
          <fgColor indexed="64"/>
          <bgColor indexed="65"/>
        </patternFill>
      </fill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5" formatCode="h:mm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5" formatCode="h:mm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fill>
        <patternFill patternType="none">
          <fgColor indexed="64"/>
          <bgColor indexed="65"/>
        </patternFill>
      </fill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5" formatCode="h:mm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5" formatCode="h:mm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fill>
        <patternFill patternType="none">
          <fgColor indexed="64"/>
          <bgColor indexed="65"/>
        </patternFill>
      </fill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5" formatCode="h:mm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fill>
        <patternFill patternType="none">
          <fgColor indexed="64"/>
          <bgColor indexed="65"/>
        </patternFill>
      </fill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2026.06.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26.06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27F7AAA-A335-446F-B26B-B0F0EE37869B}" name="Táblázat2245" displayName="Táblázat2245" ref="N1:P6" totalsRowShown="0" headerRowDxfId="30">
  <autoFilter ref="N1:P6" xr:uid="{E7B5D71C-D71F-48D7-BB15-7826D8A654F3}"/>
  <tableColumns count="3">
    <tableColumn id="1" xr3:uid="{B0487022-59B6-460B-A4CB-9C69AF8C5121}" name="nap" dataDxfId="29"/>
    <tableColumn id="2" xr3:uid="{77A19944-FFA6-4F70-9EC1-2EC6349F0FEC}" name="rendes midő óra" dataDxfId="28"/>
    <tableColumn id="3" xr3:uid="{0BBE59E8-7023-4536-B646-C68411AACEF2}" name="rendes midő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B8E66D-DB43-4A97-8B13-CEEBCE4F576C}" name="Táblázat22456" displayName="Táblázat22456" ref="N1:R6" totalsRowShown="0" headerRowDxfId="27">
  <autoFilter ref="N1:R6" xr:uid="{E7B5D71C-D71F-48D7-BB15-7826D8A654F3}"/>
  <tableColumns count="5">
    <tableColumn id="1" xr3:uid="{05E99126-1552-4909-81C3-D12055CD6B16}" name="nap" dataDxfId="26"/>
    <tableColumn id="2" xr3:uid="{0FB8888E-1C52-4DBD-BE12-42C898A8460A}" name="rendes midő óra" dataDxfId="25"/>
    <tableColumn id="3" xr3:uid="{812F8188-1C48-411F-AD96-BAEF8978B1BD}" name="rendes midő"/>
    <tableColumn id="4" xr3:uid="{B741001F-6D84-4BE8-A3D1-BEA0D8CF9D2A}" name="helyette óra" dataDxfId="24"/>
    <tableColumn id="5" xr3:uid="{ACC69D64-4032-4952-B569-208BE307875D}" name="helyette midő_x000a_(nincs jegyzői, Kata OK)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966A817-196C-4E6F-94BA-41B5F1CB323A}" name="Táblázat224567" displayName="Táblázat224567" ref="N1:R6" totalsRowShown="0" headerRowDxfId="23">
  <autoFilter ref="N1:R6" xr:uid="{9966A817-196C-4E6F-94BA-41B5F1CB323A}"/>
  <tableColumns count="5">
    <tableColumn id="1" xr3:uid="{B5ABA49E-5F08-478B-ADC8-BC53AECDAA24}" name="nap" dataDxfId="22"/>
    <tableColumn id="2" xr3:uid="{B92AD329-D079-4787-A3FA-97AC34AB7D2F}" name="rendes midő óra" dataDxfId="21"/>
    <tableColumn id="3" xr3:uid="{3A1A578D-8514-46B3-A8FB-8F11A3A981D6}" name="rendes midő"/>
    <tableColumn id="4" xr3:uid="{ED8A4D0F-D646-4E27-BB4F-3E9C1FC9305D}" name="helyette óra" dataDxfId="20"/>
    <tableColumn id="5" xr3:uid="{8920EA1E-8890-4D87-9C01-474D1D1A44D0}" name="helyette midő_x000a_(nincs jegyzői, Kata OK)"/>
  </tableColumns>
  <tableStyleInfo name="TableStyleLight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C75B04B-4704-4D6F-8C05-2404C2CD7E84}" name="Táblázat2245678" displayName="Táblázat2245678" ref="N1:R6" totalsRowShown="0" headerRowDxfId="19">
  <autoFilter ref="N1:R6" xr:uid="{0C75B04B-4704-4D6F-8C05-2404C2CD7E84}"/>
  <tableColumns count="5">
    <tableColumn id="1" xr3:uid="{BF730E66-6A25-40F2-AD20-A3209035EB33}" name="nap" dataDxfId="18"/>
    <tableColumn id="2" xr3:uid="{B8D861C9-56C0-439A-9BBD-6559C0F75C7B}" name="rendes midő óra" dataDxfId="17"/>
    <tableColumn id="3" xr3:uid="{C6C51201-C45C-4F82-A8B9-4A5B9206DCAF}" name="rendes midő"/>
    <tableColumn id="4" xr3:uid="{856DD2D0-8B8B-4C73-ADD1-BB8BC5D90D2B}" name="helyette óra" dataDxfId="16"/>
    <tableColumn id="5" xr3:uid="{E8546929-FF15-4B61-9E1A-D5A81F7B1285}" name="helyette midő_x000a_(nincs jegyzői, Kata OK)"/>
  </tableColumns>
  <tableStyleInfo name="TableStyleLight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E435B06-29EA-421C-988D-3981908AAE06}" name="Táblázat22456789" displayName="Táblázat22456789" ref="N1:R6" totalsRowShown="0" headerRowDxfId="15">
  <autoFilter ref="N1:R6" xr:uid="{FE435B06-29EA-421C-988D-3981908AAE06}"/>
  <tableColumns count="5">
    <tableColumn id="1" xr3:uid="{7655DD6F-F22A-402D-A18E-55DDC90A3572}" name="nap" dataDxfId="14"/>
    <tableColumn id="2" xr3:uid="{83522D23-FB3B-4A00-852E-11CE2C063FA9}" name="rendes midő óra" dataDxfId="13"/>
    <tableColumn id="3" xr3:uid="{09D2E131-DAE5-497A-9B05-53344E284935}" name="rendes midő"/>
    <tableColumn id="4" xr3:uid="{27641CE4-41AD-48AD-85C7-9A4716A67B5E}" name="helyette óra" dataDxfId="12"/>
    <tableColumn id="5" xr3:uid="{0C95DEBE-FCAE-487B-B541-AB5CDF60B916}" name="helyette midő_x000a_(nincs jegyzői, Kata OK)"/>
  </tableColumns>
  <tableStyleInfo name="TableStyleLight1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5FC5636-66D2-4AD4-8252-82D05E4D01B1}" name="Táblázat224567899" displayName="Táblázat224567899" ref="N1:R6" totalsRowShown="0" headerRowDxfId="11">
  <autoFilter ref="N1:R6" xr:uid="{B5FC5636-66D2-4AD4-8252-82D05E4D01B1}"/>
  <tableColumns count="5">
    <tableColumn id="1" xr3:uid="{5B0077C4-ADAB-4D2B-9D20-81933A010170}" name="nap" dataDxfId="10"/>
    <tableColumn id="2" xr3:uid="{5B043D02-F307-4293-9C27-B883D53AC6B7}" name="rendes midő óra" dataDxfId="9"/>
    <tableColumn id="3" xr3:uid="{A600B411-AE4D-4E40-9ED2-B985FD590727}" name="rendes midő"/>
    <tableColumn id="4" xr3:uid="{9704D73A-53B3-42D4-9EB9-F4615E61B718}" name="helyette óra" dataDxfId="8"/>
    <tableColumn id="5" xr3:uid="{847ACDFE-4C38-4147-8B5E-131A5F64C287}" name="helyette midő_x000a_(nincs jegyzői, Kata OK)"/>
  </tableColumns>
  <tableStyleInfo name="TableStyleLight1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AB77A10-5487-4DD2-8824-6A187749C835}" name="Táblázat2245678993" displayName="Táblázat2245678993" ref="N1:R6" totalsRowShown="0" headerRowDxfId="7">
  <autoFilter ref="N1:R6" xr:uid="{B5FC5636-66D2-4AD4-8252-82D05E4D01B1}"/>
  <tableColumns count="5">
    <tableColumn id="1" xr3:uid="{0CEA62CB-695B-4AA0-AEB2-9FC93E48DB19}" name="nap" dataDxfId="6"/>
    <tableColumn id="2" xr3:uid="{D1DA80E3-09EE-4D65-B2E1-405660F4DCED}" name="rendes midő óra" dataDxfId="5"/>
    <tableColumn id="3" xr3:uid="{E0D16955-17A9-4A02-9CB7-871EB2E701D3}" name="rendes midő"/>
    <tableColumn id="4" xr3:uid="{55E76305-2B98-4573-ABE8-8ED217D9936E}" name="helyette óra" dataDxfId="4"/>
    <tableColumn id="5" xr3:uid="{D701081E-D7A9-41A8-B7D5-2D7EB0661AFD}" name="helyette midő_x000a_(nincs jegyzői, Kata OK)"/>
  </tableColumns>
  <tableStyleInfo name="TableStyleLight1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4155BF0-14F8-4513-B73B-FA9E9F51526B}" name="Táblázat22456789911" displayName="Táblázat22456789911" ref="N1:R6" totalsRowShown="0" headerRowDxfId="3">
  <autoFilter ref="N1:R6" xr:uid="{C4155BF0-14F8-4513-B73B-FA9E9F51526B}"/>
  <tableColumns count="5">
    <tableColumn id="1" xr3:uid="{B3D10A37-D5D7-4C1E-9E63-8CFE4FA4D979}" name="nap" dataDxfId="2"/>
    <tableColumn id="2" xr3:uid="{757DD506-0FD4-4408-A77C-8AAF7C21D4F0}" name="rendes midő óra" dataDxfId="1"/>
    <tableColumn id="3" xr3:uid="{F2A56C10-D667-4DA5-9B7C-7A66C9B41733}" name="rendes midő"/>
    <tableColumn id="4" xr3:uid="{6E4DEA7E-78E9-456E-B51C-CA71617F965F}" name="helyette óra" dataDxfId="0"/>
    <tableColumn id="5" xr3:uid="{D659F87F-E2A3-4699-8E00-194618637FE1}" name="helyette midő_x000a_(nincs jegyzői, Kata OK)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B9217-8272-4BC6-AEC3-2565E5524C4E}">
  <dimension ref="A1:P27"/>
  <sheetViews>
    <sheetView topLeftCell="A7" workbookViewId="0">
      <selection activeCell="H26" sqref="H26"/>
    </sheetView>
  </sheetViews>
  <sheetFormatPr defaultRowHeight="15" x14ac:dyDescent="0.25"/>
  <cols>
    <col min="1" max="4" width="12.42578125" customWidth="1"/>
    <col min="5" max="7" width="11.28515625" customWidth="1"/>
    <col min="8" max="8" width="17.42578125" customWidth="1"/>
    <col min="9" max="9" width="2.28515625" customWidth="1"/>
    <col min="10" max="10" width="7.140625" customWidth="1"/>
    <col min="11" max="11" width="13.28515625" customWidth="1"/>
    <col min="12" max="12" width="18.28515625" bestFit="1" customWidth="1"/>
    <col min="13" max="13" width="2.28515625" customWidth="1"/>
    <col min="14" max="14" width="6.5703125" bestFit="1" customWidth="1"/>
    <col min="15" max="15" width="11.140625" bestFit="1" customWidth="1"/>
    <col min="16" max="16" width="11" customWidth="1"/>
  </cols>
  <sheetData>
    <row r="1" spans="1:16" s="13" customFormat="1" ht="46.5" customHeight="1" x14ac:dyDescent="0.25">
      <c r="A1" s="50" t="s">
        <v>0</v>
      </c>
      <c r="B1" s="50"/>
      <c r="C1" s="50"/>
      <c r="D1" s="50"/>
      <c r="E1" s="51" t="s">
        <v>7</v>
      </c>
      <c r="F1" s="51"/>
      <c r="G1" s="51"/>
      <c r="H1" s="51"/>
      <c r="I1" s="16"/>
      <c r="J1" s="16"/>
      <c r="M1"/>
      <c r="N1" s="13" t="s">
        <v>20</v>
      </c>
      <c r="O1" s="13" t="s">
        <v>21</v>
      </c>
      <c r="P1" s="13" t="s">
        <v>22</v>
      </c>
    </row>
    <row r="2" spans="1:16" ht="27.75" customHeight="1" x14ac:dyDescent="0.25">
      <c r="A2" s="52" t="s">
        <v>34</v>
      </c>
      <c r="B2" s="52"/>
      <c r="C2" s="52"/>
      <c r="D2" s="52"/>
      <c r="E2" s="51"/>
      <c r="F2" s="51"/>
      <c r="G2" s="51"/>
      <c r="H2" s="51"/>
      <c r="I2" s="16"/>
      <c r="J2" s="16"/>
      <c r="K2" s="14"/>
      <c r="L2" s="14"/>
      <c r="N2" s="14" t="s">
        <v>9</v>
      </c>
      <c r="O2" s="15">
        <v>0.41666666666666669</v>
      </c>
      <c r="P2" t="s">
        <v>16</v>
      </c>
    </row>
    <row r="3" spans="1:16" ht="45" x14ac:dyDescent="0.25">
      <c r="A3" s="1" t="s">
        <v>1</v>
      </c>
      <c r="B3" s="1" t="s">
        <v>2</v>
      </c>
      <c r="C3" s="1" t="s">
        <v>3</v>
      </c>
      <c r="D3" s="1" t="s">
        <v>4</v>
      </c>
      <c r="E3" s="7" t="s">
        <v>5</v>
      </c>
      <c r="F3" s="7" t="s">
        <v>8</v>
      </c>
      <c r="G3" s="7" t="s">
        <v>14</v>
      </c>
      <c r="H3" s="7" t="s">
        <v>23</v>
      </c>
      <c r="I3" s="17"/>
      <c r="J3" s="19" t="s">
        <v>24</v>
      </c>
      <c r="K3" s="20" t="s">
        <v>25</v>
      </c>
      <c r="L3" s="21" t="s">
        <v>26</v>
      </c>
      <c r="N3" s="14" t="s">
        <v>10</v>
      </c>
      <c r="O3" s="15">
        <v>0.33333333333333331</v>
      </c>
      <c r="P3" t="s">
        <v>17</v>
      </c>
    </row>
    <row r="4" spans="1:16" ht="24" x14ac:dyDescent="0.25">
      <c r="A4" s="2" t="s">
        <v>33</v>
      </c>
      <c r="B4" s="3">
        <v>46024</v>
      </c>
      <c r="C4" s="5"/>
      <c r="D4" s="5"/>
      <c r="E4" s="4">
        <f>D4-C4</f>
        <v>0</v>
      </c>
      <c r="F4" s="8">
        <v>0</v>
      </c>
      <c r="G4" s="8">
        <v>0</v>
      </c>
      <c r="H4" s="4">
        <f>E4-F4</f>
        <v>0</v>
      </c>
      <c r="I4" s="14"/>
      <c r="J4" s="18" t="s">
        <v>9</v>
      </c>
      <c r="K4" s="24"/>
      <c r="L4" s="29" t="s">
        <v>32</v>
      </c>
      <c r="N4" s="14" t="s">
        <v>11</v>
      </c>
      <c r="O4" s="15">
        <v>0.35416666666666669</v>
      </c>
      <c r="P4" t="s">
        <v>18</v>
      </c>
    </row>
    <row r="5" spans="1:16" ht="24" x14ac:dyDescent="0.25">
      <c r="A5" s="2" t="s">
        <v>33</v>
      </c>
      <c r="B5" s="22">
        <v>46027</v>
      </c>
      <c r="C5" s="6">
        <v>0.33333333333333331</v>
      </c>
      <c r="D5" s="6">
        <v>0.75</v>
      </c>
      <c r="E5" s="4">
        <f t="shared" ref="E5:E25" si="0">D5-C5</f>
        <v>0.41666666666666669</v>
      </c>
      <c r="F5" s="8">
        <v>0.41666666666666669</v>
      </c>
      <c r="G5" s="8">
        <v>0.33333333333333331</v>
      </c>
      <c r="H5" s="4">
        <f t="shared" ref="H5:H25" si="1">E5-F5</f>
        <v>0</v>
      </c>
      <c r="I5" s="14"/>
      <c r="J5" s="18" t="s">
        <v>10</v>
      </c>
      <c r="K5" s="24"/>
      <c r="L5" s="35" t="s">
        <v>27</v>
      </c>
      <c r="N5" s="14" t="s">
        <v>12</v>
      </c>
      <c r="O5" s="15">
        <v>0.33333333333333331</v>
      </c>
      <c r="P5" s="8" t="s">
        <v>17</v>
      </c>
    </row>
    <row r="6" spans="1:16" ht="24" x14ac:dyDescent="0.25">
      <c r="A6" s="2" t="s">
        <v>33</v>
      </c>
      <c r="B6" s="3">
        <v>46028</v>
      </c>
      <c r="C6" s="5">
        <v>0.32023148148148151</v>
      </c>
      <c r="D6" s="5">
        <v>0.68141203703703701</v>
      </c>
      <c r="E6" s="4">
        <f t="shared" si="0"/>
        <v>0.3611805555555555</v>
      </c>
      <c r="F6" s="8">
        <v>0.33333333333333331</v>
      </c>
      <c r="G6" s="8">
        <v>0.33333333333333331</v>
      </c>
      <c r="H6" s="4">
        <f t="shared" si="1"/>
        <v>2.784722222222219E-2</v>
      </c>
      <c r="I6" s="14"/>
      <c r="J6" s="18" t="s">
        <v>11</v>
      </c>
      <c r="K6" s="24"/>
      <c r="L6" s="24"/>
      <c r="N6" s="14" t="s">
        <v>13</v>
      </c>
      <c r="O6" s="15">
        <v>0.22916666666666666</v>
      </c>
      <c r="P6" t="s">
        <v>19</v>
      </c>
    </row>
    <row r="7" spans="1:16" ht="24" x14ac:dyDescent="0.25">
      <c r="A7" s="2" t="s">
        <v>33</v>
      </c>
      <c r="B7" s="22">
        <v>46029</v>
      </c>
      <c r="C7" s="6">
        <v>0.33835648148148151</v>
      </c>
      <c r="D7" s="6">
        <v>0.69481481481481477</v>
      </c>
      <c r="E7" s="4">
        <f t="shared" si="0"/>
        <v>0.35645833333333327</v>
      </c>
      <c r="F7" s="8">
        <v>0.35416666666666669</v>
      </c>
      <c r="G7" s="8">
        <v>0.33333333333333331</v>
      </c>
      <c r="H7" s="4">
        <f t="shared" si="1"/>
        <v>2.2916666666665808E-3</v>
      </c>
      <c r="I7" s="14"/>
      <c r="J7" s="18" t="s">
        <v>12</v>
      </c>
      <c r="K7" s="24"/>
      <c r="L7" s="24"/>
    </row>
    <row r="8" spans="1:16" ht="24" x14ac:dyDescent="0.25">
      <c r="A8" s="2" t="s">
        <v>33</v>
      </c>
      <c r="B8" s="3">
        <v>46030</v>
      </c>
      <c r="C8" s="5">
        <v>0.33607638888888891</v>
      </c>
      <c r="D8" s="5">
        <v>0.66827546296296292</v>
      </c>
      <c r="E8" s="4">
        <f t="shared" si="0"/>
        <v>0.33219907407407401</v>
      </c>
      <c r="F8" s="8">
        <v>0.33333333333333331</v>
      </c>
      <c r="G8" s="8">
        <v>0.33333333333333331</v>
      </c>
      <c r="H8" s="4">
        <f t="shared" si="1"/>
        <v>-1.134259259259307E-3</v>
      </c>
      <c r="I8" s="14"/>
      <c r="J8" s="23" t="s">
        <v>13</v>
      </c>
      <c r="K8" s="24"/>
      <c r="L8" s="24"/>
    </row>
    <row r="9" spans="1:16" ht="24" x14ac:dyDescent="0.25">
      <c r="A9" s="2" t="s">
        <v>33</v>
      </c>
      <c r="B9" s="22">
        <v>46031</v>
      </c>
      <c r="C9" s="6">
        <v>0.33130787037037035</v>
      </c>
      <c r="D9" s="6">
        <v>0.75329861111111107</v>
      </c>
      <c r="E9" s="4">
        <f t="shared" si="0"/>
        <v>0.42199074074074072</v>
      </c>
      <c r="F9" s="8">
        <v>0.41666666666666669</v>
      </c>
      <c r="G9" s="8">
        <v>0.33333333333333331</v>
      </c>
      <c r="H9" s="4">
        <f t="shared" si="1"/>
        <v>5.3240740740740367E-3</v>
      </c>
      <c r="I9" s="14"/>
      <c r="J9" s="18" t="s">
        <v>9</v>
      </c>
      <c r="K9" s="28"/>
      <c r="L9" s="29" t="s">
        <v>30</v>
      </c>
    </row>
    <row r="10" spans="1:16" x14ac:dyDescent="0.25">
      <c r="A10" s="30" t="s">
        <v>15</v>
      </c>
      <c r="B10" s="31">
        <v>46032</v>
      </c>
      <c r="C10" s="32"/>
      <c r="D10" s="32"/>
      <c r="E10" s="33">
        <f t="shared" ref="E10" si="2">D10-C10</f>
        <v>0</v>
      </c>
      <c r="F10" s="34">
        <v>0</v>
      </c>
      <c r="G10" s="34">
        <v>0.33333333333333331</v>
      </c>
      <c r="H10" s="33">
        <f t="shared" ref="H10" si="3">E10-F10</f>
        <v>0</v>
      </c>
      <c r="I10" s="14"/>
      <c r="J10" s="18" t="s">
        <v>10</v>
      </c>
      <c r="K10" s="28"/>
      <c r="L10" s="29" t="s">
        <v>31</v>
      </c>
    </row>
    <row r="11" spans="1:16" ht="24" x14ac:dyDescent="0.25">
      <c r="A11" s="2" t="s">
        <v>33</v>
      </c>
      <c r="B11" s="22">
        <v>46034</v>
      </c>
      <c r="C11" s="6">
        <v>0.33251157407407406</v>
      </c>
      <c r="D11" s="6">
        <v>0.75815972222222228</v>
      </c>
      <c r="E11" s="4">
        <f t="shared" si="0"/>
        <v>0.42564814814814822</v>
      </c>
      <c r="F11" s="8">
        <v>0.41666666666666669</v>
      </c>
      <c r="G11" s="8">
        <v>0.33333333333333331</v>
      </c>
      <c r="H11" s="4">
        <f t="shared" si="1"/>
        <v>8.9814814814815347E-3</v>
      </c>
      <c r="I11" s="14"/>
      <c r="J11" s="18" t="s">
        <v>11</v>
      </c>
      <c r="K11" s="28"/>
      <c r="L11" s="24"/>
    </row>
    <row r="12" spans="1:16" ht="24" x14ac:dyDescent="0.25">
      <c r="A12" s="2" t="s">
        <v>33</v>
      </c>
      <c r="B12" s="3">
        <v>46035</v>
      </c>
      <c r="C12" s="5">
        <v>0.40570601851851851</v>
      </c>
      <c r="D12" s="37">
        <v>0.67178240740740736</v>
      </c>
      <c r="E12" s="4">
        <f t="shared" si="0"/>
        <v>0.26607638888888885</v>
      </c>
      <c r="F12" s="8">
        <v>0.33333333333333331</v>
      </c>
      <c r="G12" s="8">
        <v>0.33333333333333331</v>
      </c>
      <c r="H12" s="4">
        <f t="shared" si="1"/>
        <v>-6.7256944444444466E-2</v>
      </c>
      <c r="I12" s="14"/>
      <c r="J12" s="18" t="s">
        <v>12</v>
      </c>
      <c r="K12" s="28"/>
      <c r="L12" s="24"/>
    </row>
    <row r="13" spans="1:16" ht="24" x14ac:dyDescent="0.25">
      <c r="A13" s="2" t="s">
        <v>33</v>
      </c>
      <c r="B13" s="22">
        <v>46036</v>
      </c>
      <c r="C13" s="5">
        <v>0.3237962962962963</v>
      </c>
      <c r="D13" s="5">
        <v>0.72932870370370373</v>
      </c>
      <c r="E13" s="4">
        <f t="shared" si="0"/>
        <v>0.40553240740740742</v>
      </c>
      <c r="F13" s="8">
        <v>0.35416666666666669</v>
      </c>
      <c r="G13" s="8">
        <v>0.33333333333333331</v>
      </c>
      <c r="H13" s="4">
        <f t="shared" si="1"/>
        <v>5.136574074074074E-2</v>
      </c>
      <c r="I13" s="14"/>
      <c r="J13" s="23" t="s">
        <v>13</v>
      </c>
      <c r="K13" s="28"/>
    </row>
    <row r="14" spans="1:16" ht="24" x14ac:dyDescent="0.25">
      <c r="A14" s="2" t="s">
        <v>33</v>
      </c>
      <c r="B14" s="3">
        <v>46037</v>
      </c>
      <c r="C14" s="6">
        <v>0.33248842592592592</v>
      </c>
      <c r="D14" s="6">
        <v>0.68135416666666671</v>
      </c>
      <c r="E14" s="4">
        <f t="shared" ref="E14" si="4">D14-C14</f>
        <v>0.34886574074074078</v>
      </c>
      <c r="F14" s="8">
        <v>0.33333333333333331</v>
      </c>
      <c r="G14" s="8">
        <v>0.33333333333333331</v>
      </c>
      <c r="H14" s="4">
        <f t="shared" ref="H14" si="5">E14-F14</f>
        <v>1.5532407407407467E-2</v>
      </c>
      <c r="I14" s="14"/>
      <c r="J14" s="23" t="s">
        <v>28</v>
      </c>
      <c r="K14" s="28"/>
      <c r="L14" s="25"/>
    </row>
    <row r="15" spans="1:16" ht="24" x14ac:dyDescent="0.25">
      <c r="A15" s="2" t="s">
        <v>33</v>
      </c>
      <c r="B15" s="22">
        <v>46038</v>
      </c>
      <c r="C15" s="5">
        <v>0.32550925925925928</v>
      </c>
      <c r="D15" s="5">
        <v>0.57340277777777782</v>
      </c>
      <c r="E15" s="4">
        <f t="shared" si="0"/>
        <v>0.24789351851851854</v>
      </c>
      <c r="F15" s="8">
        <v>0.22916666666666666</v>
      </c>
      <c r="G15" s="8">
        <v>0.33333333333333331</v>
      </c>
      <c r="H15" s="4">
        <f t="shared" si="1"/>
        <v>1.8726851851851883E-2</v>
      </c>
      <c r="I15" s="14"/>
      <c r="J15" s="18" t="s">
        <v>9</v>
      </c>
      <c r="K15" s="28"/>
      <c r="L15" s="24"/>
    </row>
    <row r="16" spans="1:16" ht="24" x14ac:dyDescent="0.25">
      <c r="A16" s="2" t="s">
        <v>33</v>
      </c>
      <c r="B16" s="3">
        <v>46041</v>
      </c>
      <c r="C16" s="37">
        <v>0.33057870370370368</v>
      </c>
      <c r="D16" s="6">
        <v>0.75771990740740736</v>
      </c>
      <c r="E16" s="4">
        <f>D16-C16</f>
        <v>0.42714120370370368</v>
      </c>
      <c r="F16" s="8">
        <v>0.41666666666666669</v>
      </c>
      <c r="G16" s="8">
        <v>0.33333333333333331</v>
      </c>
      <c r="H16" s="4">
        <f t="shared" si="1"/>
        <v>1.0474537037036991E-2</v>
      </c>
      <c r="I16" s="14"/>
      <c r="J16" s="18" t="s">
        <v>10</v>
      </c>
      <c r="K16" s="28"/>
      <c r="L16" s="24"/>
    </row>
    <row r="17" spans="1:12" ht="24" x14ac:dyDescent="0.25">
      <c r="A17" s="2" t="s">
        <v>33</v>
      </c>
      <c r="B17" s="22">
        <v>46042</v>
      </c>
      <c r="C17" s="5">
        <v>0.33042824074074073</v>
      </c>
      <c r="D17" s="5">
        <v>0.68480324074074073</v>
      </c>
      <c r="E17" s="4">
        <f t="shared" si="0"/>
        <v>0.354375</v>
      </c>
      <c r="F17" s="8">
        <v>0.33333333333333331</v>
      </c>
      <c r="G17" s="8">
        <v>0.33333333333333331</v>
      </c>
      <c r="H17" s="4">
        <f t="shared" si="1"/>
        <v>2.1041666666666681E-2</v>
      </c>
      <c r="I17" s="14"/>
      <c r="J17" s="18" t="s">
        <v>11</v>
      </c>
      <c r="K17" s="28"/>
      <c r="L17" s="24"/>
    </row>
    <row r="18" spans="1:12" ht="24" x14ac:dyDescent="0.25">
      <c r="A18" s="2" t="s">
        <v>33</v>
      </c>
      <c r="B18" s="3">
        <v>46043</v>
      </c>
      <c r="C18" s="37">
        <v>0.43138888888888888</v>
      </c>
      <c r="D18" s="5">
        <v>0.73263888888888884</v>
      </c>
      <c r="E18" s="4">
        <f t="shared" si="0"/>
        <v>0.30124999999999996</v>
      </c>
      <c r="F18" s="8">
        <v>0.35416666666666669</v>
      </c>
      <c r="G18" s="8">
        <v>0.33333333333333331</v>
      </c>
      <c r="H18" s="4">
        <f t="shared" si="1"/>
        <v>-5.2916666666666723E-2</v>
      </c>
      <c r="I18" s="14"/>
      <c r="J18" s="18" t="s">
        <v>12</v>
      </c>
      <c r="K18" s="28"/>
      <c r="L18" s="24"/>
    </row>
    <row r="19" spans="1:12" ht="24" x14ac:dyDescent="0.25">
      <c r="A19" s="2" t="s">
        <v>33</v>
      </c>
      <c r="B19" s="22">
        <v>46044</v>
      </c>
      <c r="C19" s="5">
        <v>0.33041666666666669</v>
      </c>
      <c r="D19" s="5">
        <v>0.6696064814814815</v>
      </c>
      <c r="E19" s="4">
        <f t="shared" si="0"/>
        <v>0.33918981481481481</v>
      </c>
      <c r="F19" s="8">
        <v>0.33333333333333331</v>
      </c>
      <c r="G19" s="8">
        <v>0.33333333333333331</v>
      </c>
      <c r="H19" s="4">
        <f t="shared" si="1"/>
        <v>5.8564814814814903E-3</v>
      </c>
      <c r="I19" s="14"/>
      <c r="J19" s="23" t="s">
        <v>13</v>
      </c>
      <c r="K19" s="24"/>
      <c r="L19" s="24"/>
    </row>
    <row r="20" spans="1:12" ht="24" x14ac:dyDescent="0.25">
      <c r="A20" s="2" t="s">
        <v>33</v>
      </c>
      <c r="B20" s="3">
        <v>46045</v>
      </c>
      <c r="C20" s="6">
        <v>0.32907407407407407</v>
      </c>
      <c r="D20" s="6">
        <v>0.5688657407407407</v>
      </c>
      <c r="E20" s="4">
        <f t="shared" si="0"/>
        <v>0.23979166666666663</v>
      </c>
      <c r="F20" s="8">
        <v>0.22916666666666666</v>
      </c>
      <c r="G20" s="8">
        <v>0.33333333333333331</v>
      </c>
      <c r="H20" s="4">
        <f t="shared" si="1"/>
        <v>1.0624999999999968E-2</v>
      </c>
      <c r="I20" s="14"/>
      <c r="J20" s="18" t="s">
        <v>9</v>
      </c>
      <c r="K20" s="24"/>
      <c r="L20" s="24"/>
    </row>
    <row r="21" spans="1:12" ht="24" x14ac:dyDescent="0.25">
      <c r="A21" s="2" t="s">
        <v>33</v>
      </c>
      <c r="B21" s="22">
        <v>46048</v>
      </c>
      <c r="C21" s="5">
        <v>0.33042824074074073</v>
      </c>
      <c r="D21" s="5">
        <v>0.75086805555555558</v>
      </c>
      <c r="E21" s="4">
        <f>D21-C21</f>
        <v>0.42043981481481485</v>
      </c>
      <c r="F21" s="8">
        <v>0.41666666666666669</v>
      </c>
      <c r="G21" s="8">
        <v>0.33333333333333331</v>
      </c>
      <c r="H21" s="4">
        <f t="shared" si="1"/>
        <v>3.7731481481481643E-3</v>
      </c>
      <c r="I21" s="14"/>
      <c r="J21" s="18" t="s">
        <v>10</v>
      </c>
      <c r="K21" s="24"/>
      <c r="L21" s="29"/>
    </row>
    <row r="22" spans="1:12" ht="24" x14ac:dyDescent="0.25">
      <c r="A22" s="2" t="s">
        <v>33</v>
      </c>
      <c r="B22" s="3">
        <v>46049</v>
      </c>
      <c r="C22" s="6">
        <v>0.33065972222222223</v>
      </c>
      <c r="D22" s="6">
        <v>0.66934027777777783</v>
      </c>
      <c r="E22" s="4">
        <f>D22-C22</f>
        <v>0.3386805555555556</v>
      </c>
      <c r="F22" s="8">
        <v>0.33333333333333331</v>
      </c>
      <c r="G22" s="8">
        <v>0.33333333333333331</v>
      </c>
      <c r="H22" s="4">
        <f t="shared" si="1"/>
        <v>5.3472222222222809E-3</v>
      </c>
      <c r="I22" s="14"/>
      <c r="J22" s="18" t="s">
        <v>11</v>
      </c>
      <c r="L22" s="25"/>
    </row>
    <row r="23" spans="1:12" ht="24" x14ac:dyDescent="0.25">
      <c r="A23" s="2" t="s">
        <v>33</v>
      </c>
      <c r="B23" s="22">
        <v>46050</v>
      </c>
      <c r="C23" s="5">
        <v>0.3332060185185185</v>
      </c>
      <c r="D23" s="5">
        <v>0.72915509259259259</v>
      </c>
      <c r="E23" s="4">
        <f t="shared" si="0"/>
        <v>0.39594907407407409</v>
      </c>
      <c r="F23" s="8">
        <v>0.35416666666666669</v>
      </c>
      <c r="G23" s="8">
        <v>0.33333333333333331</v>
      </c>
      <c r="H23" s="4">
        <f t="shared" si="1"/>
        <v>4.1782407407407407E-2</v>
      </c>
      <c r="I23" s="14"/>
      <c r="J23" s="18" t="s">
        <v>12</v>
      </c>
      <c r="K23" s="24"/>
      <c r="L23" s="24"/>
    </row>
    <row r="24" spans="1:12" ht="24" x14ac:dyDescent="0.25">
      <c r="A24" s="2" t="s">
        <v>33</v>
      </c>
      <c r="B24" s="3">
        <v>46051</v>
      </c>
      <c r="C24" s="6">
        <v>0.33113425925925927</v>
      </c>
      <c r="D24" s="6">
        <v>0.67011574074074076</v>
      </c>
      <c r="E24" s="4">
        <f t="shared" si="0"/>
        <v>0.33898148148148149</v>
      </c>
      <c r="F24" s="8">
        <v>0.33333333333333331</v>
      </c>
      <c r="G24" s="8">
        <v>0.33333333333333331</v>
      </c>
      <c r="H24" s="4">
        <f t="shared" si="1"/>
        <v>5.6481481481481799E-3</v>
      </c>
      <c r="I24" s="14"/>
      <c r="J24" s="23" t="s">
        <v>13</v>
      </c>
      <c r="K24" s="24"/>
      <c r="L24" s="24"/>
    </row>
    <row r="25" spans="1:12" ht="24" x14ac:dyDescent="0.25">
      <c r="A25" s="2" t="s">
        <v>33</v>
      </c>
      <c r="B25" s="22">
        <v>46052</v>
      </c>
      <c r="C25" s="5">
        <v>0.34149305555555554</v>
      </c>
      <c r="D25" s="5">
        <v>0.57497685185185188</v>
      </c>
      <c r="E25" s="4">
        <f t="shared" si="0"/>
        <v>0.23348379629629634</v>
      </c>
      <c r="F25" s="8">
        <v>0.22916666666666666</v>
      </c>
      <c r="G25" s="8">
        <v>0.33333333333333331</v>
      </c>
      <c r="H25" s="4">
        <f t="shared" si="1"/>
        <v>4.3171296296296846E-3</v>
      </c>
      <c r="I25" s="14"/>
      <c r="J25" s="18" t="s">
        <v>9</v>
      </c>
      <c r="K25" s="25"/>
      <c r="L25" s="24"/>
    </row>
    <row r="26" spans="1:12" x14ac:dyDescent="0.25">
      <c r="A26" s="9" t="s">
        <v>6</v>
      </c>
      <c r="B26" s="10"/>
      <c r="C26" s="11"/>
      <c r="D26" s="11"/>
      <c r="E26" s="12">
        <f>SUM(E4:E24)</f>
        <v>6.7383101851851848</v>
      </c>
      <c r="F26" s="12">
        <f>SUM(F4:F25)</f>
        <v>6.854166666666667</v>
      </c>
      <c r="G26" s="12">
        <f>SUM(G4:G25)</f>
        <v>6.9999999999999973</v>
      </c>
      <c r="H26" s="12">
        <f>SUM(H4:H25)</f>
        <v>0.11762731481481478</v>
      </c>
      <c r="I26" s="4"/>
      <c r="J26" s="4"/>
      <c r="L26" s="36"/>
    </row>
    <row r="27" spans="1:12" ht="24" x14ac:dyDescent="0.25">
      <c r="A27" s="27" t="s">
        <v>29</v>
      </c>
      <c r="H27" s="26">
        <f>H26</f>
        <v>0.11762731481481478</v>
      </c>
    </row>
  </sheetData>
  <mergeCells count="3">
    <mergeCell ref="A1:D1"/>
    <mergeCell ref="E1:H2"/>
    <mergeCell ref="A2:D2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4ED80-3265-470B-B8D2-CB4745269923}">
  <dimension ref="A1:R25"/>
  <sheetViews>
    <sheetView topLeftCell="A7" workbookViewId="0">
      <selection activeCell="A4" sqref="A4:B5"/>
    </sheetView>
  </sheetViews>
  <sheetFormatPr defaultRowHeight="15" x14ac:dyDescent="0.25"/>
  <cols>
    <col min="1" max="4" width="12.42578125" customWidth="1"/>
    <col min="5" max="7" width="11.28515625" customWidth="1"/>
    <col min="8" max="8" width="17.42578125" customWidth="1"/>
    <col min="9" max="9" width="2.28515625" customWidth="1"/>
    <col min="10" max="10" width="7.140625" customWidth="1"/>
    <col min="11" max="11" width="13.28515625" customWidth="1"/>
    <col min="12" max="12" width="34.28515625" bestFit="1" customWidth="1"/>
    <col min="13" max="13" width="2.28515625" customWidth="1"/>
    <col min="14" max="14" width="6.5703125" bestFit="1" customWidth="1"/>
    <col min="15" max="15" width="11.140625" bestFit="1" customWidth="1"/>
    <col min="16" max="16" width="9.85546875" bestFit="1" customWidth="1"/>
    <col min="17" max="17" width="8.7109375" customWidth="1"/>
    <col min="18" max="18" width="14" customWidth="1"/>
  </cols>
  <sheetData>
    <row r="1" spans="1:18" s="13" customFormat="1" ht="46.5" customHeight="1" x14ac:dyDescent="0.25">
      <c r="A1" s="50" t="s">
        <v>0</v>
      </c>
      <c r="B1" s="50"/>
      <c r="C1" s="50"/>
      <c r="D1" s="50"/>
      <c r="E1" s="51" t="s">
        <v>7</v>
      </c>
      <c r="F1" s="51"/>
      <c r="G1" s="51"/>
      <c r="H1" s="51"/>
      <c r="I1" s="16"/>
      <c r="J1" s="16"/>
      <c r="M1"/>
      <c r="N1" s="13" t="s">
        <v>20</v>
      </c>
      <c r="O1" s="13" t="s">
        <v>21</v>
      </c>
      <c r="P1" s="13" t="s">
        <v>22</v>
      </c>
      <c r="Q1" s="13" t="s">
        <v>35</v>
      </c>
      <c r="R1" s="13" t="s">
        <v>36</v>
      </c>
    </row>
    <row r="2" spans="1:18" ht="27.75" customHeight="1" x14ac:dyDescent="0.25">
      <c r="A2" s="52" t="s">
        <v>37</v>
      </c>
      <c r="B2" s="52"/>
      <c r="C2" s="52"/>
      <c r="D2" s="52"/>
      <c r="E2" s="51"/>
      <c r="F2" s="51"/>
      <c r="G2" s="51"/>
      <c r="H2" s="51"/>
      <c r="I2" s="16"/>
      <c r="J2" s="16"/>
      <c r="K2" s="14"/>
      <c r="L2" s="14"/>
      <c r="N2" s="14" t="s">
        <v>38</v>
      </c>
      <c r="O2" s="15">
        <v>0.41666666666666669</v>
      </c>
      <c r="P2" t="s">
        <v>16</v>
      </c>
      <c r="Q2" s="15">
        <v>0.375</v>
      </c>
      <c r="R2" t="s">
        <v>39</v>
      </c>
    </row>
    <row r="3" spans="1:18" ht="45" x14ac:dyDescent="0.25">
      <c r="A3" s="1" t="s">
        <v>1</v>
      </c>
      <c r="B3" s="1" t="s">
        <v>2</v>
      </c>
      <c r="C3" s="1" t="s">
        <v>3</v>
      </c>
      <c r="D3" s="1" t="s">
        <v>4</v>
      </c>
      <c r="E3" s="7" t="s">
        <v>5</v>
      </c>
      <c r="F3" s="7" t="s">
        <v>8</v>
      </c>
      <c r="G3" s="7" t="s">
        <v>14</v>
      </c>
      <c r="H3" s="7" t="s">
        <v>23</v>
      </c>
      <c r="I3" s="17"/>
      <c r="J3" s="19" t="s">
        <v>24</v>
      </c>
      <c r="K3" s="20" t="s">
        <v>25</v>
      </c>
      <c r="L3" s="21" t="s">
        <v>26</v>
      </c>
      <c r="N3" s="14" t="s">
        <v>10</v>
      </c>
      <c r="O3" s="15">
        <v>0.33333333333333331</v>
      </c>
      <c r="P3" t="s">
        <v>17</v>
      </c>
      <c r="Q3" s="15">
        <v>0.35416666666666669</v>
      </c>
      <c r="R3" t="s">
        <v>18</v>
      </c>
    </row>
    <row r="4" spans="1:18" ht="24" x14ac:dyDescent="0.25">
      <c r="A4" s="2" t="s">
        <v>40</v>
      </c>
      <c r="B4" s="3">
        <v>46055</v>
      </c>
      <c r="C4" s="5">
        <v>0.33333333333333331</v>
      </c>
      <c r="D4" s="5">
        <v>0.75</v>
      </c>
      <c r="E4" s="4">
        <f>D4-C4</f>
        <v>0.41666666666666669</v>
      </c>
      <c r="F4" s="8">
        <v>0.41666666666666669</v>
      </c>
      <c r="G4" s="8">
        <v>0.33333333333333331</v>
      </c>
      <c r="H4" s="4">
        <f>E4-F4</f>
        <v>0</v>
      </c>
      <c r="I4" s="14"/>
      <c r="J4" s="18" t="s">
        <v>38</v>
      </c>
      <c r="K4" s="38"/>
      <c r="L4" s="38" t="s">
        <v>27</v>
      </c>
      <c r="N4" s="14" t="s">
        <v>11</v>
      </c>
      <c r="O4" s="15">
        <v>0.35416666666666669</v>
      </c>
      <c r="P4" t="s">
        <v>18</v>
      </c>
      <c r="Q4" s="15">
        <v>0.35416666666666669</v>
      </c>
      <c r="R4" t="s">
        <v>18</v>
      </c>
    </row>
    <row r="5" spans="1:18" ht="24" x14ac:dyDescent="0.25">
      <c r="A5" s="39" t="s">
        <v>40</v>
      </c>
      <c r="B5" s="22">
        <v>46056</v>
      </c>
      <c r="C5" s="5">
        <v>0.33262731481481483</v>
      </c>
      <c r="D5" s="5">
        <v>0.66931712962962964</v>
      </c>
      <c r="E5" s="4">
        <f t="shared" ref="E5:E23" si="0">D5-C5</f>
        <v>0.3366898148148148</v>
      </c>
      <c r="F5" s="8">
        <v>0.33333333333333331</v>
      </c>
      <c r="G5" s="8">
        <v>0.33333333333333331</v>
      </c>
      <c r="H5" s="4">
        <f t="shared" ref="H5:H23" si="1">E5-F5</f>
        <v>3.3564814814814881E-3</v>
      </c>
      <c r="I5" s="14"/>
      <c r="J5" s="18" t="s">
        <v>10</v>
      </c>
      <c r="K5" s="38"/>
      <c r="L5" s="38"/>
      <c r="N5" s="14" t="s">
        <v>12</v>
      </c>
      <c r="O5" s="15">
        <v>0.33333333333333331</v>
      </c>
      <c r="P5" s="8" t="s">
        <v>17</v>
      </c>
      <c r="Q5" s="15">
        <v>0.35416666666666669</v>
      </c>
      <c r="R5" s="8" t="s">
        <v>18</v>
      </c>
    </row>
    <row r="6" spans="1:18" ht="24" x14ac:dyDescent="0.25">
      <c r="A6" s="2" t="s">
        <v>40</v>
      </c>
      <c r="B6" s="3">
        <v>46057</v>
      </c>
      <c r="C6" s="6">
        <v>0.33187499999999998</v>
      </c>
      <c r="D6" s="6">
        <v>0.7330092592592593</v>
      </c>
      <c r="E6" s="4">
        <f t="shared" si="0"/>
        <v>0.40113425925925933</v>
      </c>
      <c r="F6" s="8">
        <v>0.35416666666666669</v>
      </c>
      <c r="G6" s="8">
        <v>0.33333333333333331</v>
      </c>
      <c r="H6" s="4">
        <f t="shared" si="1"/>
        <v>4.6967592592592644E-2</v>
      </c>
      <c r="I6" s="14"/>
      <c r="J6" s="18" t="s">
        <v>11</v>
      </c>
      <c r="K6" s="38"/>
      <c r="L6" s="38"/>
      <c r="N6" s="14" t="s">
        <v>13</v>
      </c>
      <c r="O6" s="15">
        <v>0.22916666666666666</v>
      </c>
      <c r="P6" t="s">
        <v>19</v>
      </c>
      <c r="Q6" s="15">
        <v>0.22916666666666666</v>
      </c>
      <c r="R6" t="s">
        <v>19</v>
      </c>
    </row>
    <row r="7" spans="1:18" ht="24" x14ac:dyDescent="0.25">
      <c r="A7" s="39" t="s">
        <v>40</v>
      </c>
      <c r="B7" s="22">
        <v>46058</v>
      </c>
      <c r="C7" s="5">
        <v>0.3323726851851852</v>
      </c>
      <c r="D7" s="5">
        <v>0.69458333333333333</v>
      </c>
      <c r="E7" s="4">
        <f t="shared" si="0"/>
        <v>0.36221064814814813</v>
      </c>
      <c r="F7" s="8">
        <v>0.33333333333333331</v>
      </c>
      <c r="G7" s="8">
        <v>0.33333333333333331</v>
      </c>
      <c r="H7" s="4">
        <f t="shared" si="1"/>
        <v>2.8877314814814814E-2</v>
      </c>
      <c r="I7" s="14"/>
      <c r="J7" s="18" t="s">
        <v>12</v>
      </c>
      <c r="K7" s="38"/>
      <c r="L7" s="38"/>
    </row>
    <row r="8" spans="1:18" ht="24" x14ac:dyDescent="0.25">
      <c r="A8" s="2" t="s">
        <v>40</v>
      </c>
      <c r="B8" s="3">
        <v>46059</v>
      </c>
      <c r="C8" s="6">
        <v>0.33252314814814815</v>
      </c>
      <c r="D8" s="6">
        <v>0.57186342592592587</v>
      </c>
      <c r="E8" s="4">
        <f t="shared" si="0"/>
        <v>0.23934027777777772</v>
      </c>
      <c r="F8" s="8">
        <v>0.22916666666666666</v>
      </c>
      <c r="G8" s="8">
        <v>0.33333333333333331</v>
      </c>
      <c r="H8" s="4">
        <f t="shared" si="1"/>
        <v>1.0173611111111064E-2</v>
      </c>
      <c r="I8" s="14"/>
      <c r="J8" s="23" t="s">
        <v>13</v>
      </c>
      <c r="K8" s="38"/>
      <c r="L8" s="38"/>
    </row>
    <row r="9" spans="1:18" ht="24" x14ac:dyDescent="0.25">
      <c r="A9" s="39" t="s">
        <v>40</v>
      </c>
      <c r="B9" s="22">
        <v>46062</v>
      </c>
      <c r="C9" s="5">
        <v>0.33239583333333333</v>
      </c>
      <c r="D9" s="5">
        <v>0.75271990740740746</v>
      </c>
      <c r="E9" s="4">
        <f t="shared" si="0"/>
        <v>0.42032407407407413</v>
      </c>
      <c r="F9" s="8">
        <v>0.41666666666666669</v>
      </c>
      <c r="G9" s="8">
        <v>0.33333333333333331</v>
      </c>
      <c r="H9" s="4">
        <f t="shared" si="1"/>
        <v>3.6574074074074425E-3</v>
      </c>
      <c r="I9" s="14"/>
      <c r="J9" s="18" t="s">
        <v>38</v>
      </c>
      <c r="K9" s="38"/>
      <c r="L9" s="38"/>
    </row>
    <row r="10" spans="1:18" ht="24" x14ac:dyDescent="0.25">
      <c r="A10" s="39" t="s">
        <v>40</v>
      </c>
      <c r="B10" s="3">
        <v>46063</v>
      </c>
      <c r="C10" s="6">
        <v>0.42155092592592591</v>
      </c>
      <c r="D10" s="6">
        <v>0.66788194444444449</v>
      </c>
      <c r="E10" s="4">
        <f t="shared" si="0"/>
        <v>0.24633101851851857</v>
      </c>
      <c r="F10" s="8">
        <v>0.33333333333333331</v>
      </c>
      <c r="G10" s="8">
        <v>0.33333333333333331</v>
      </c>
      <c r="H10" s="4">
        <f t="shared" si="1"/>
        <v>-8.7002314814814741E-2</v>
      </c>
      <c r="I10" s="14"/>
      <c r="J10" s="18" t="s">
        <v>10</v>
      </c>
      <c r="K10" s="38"/>
      <c r="L10" s="38"/>
    </row>
    <row r="11" spans="1:18" ht="24" x14ac:dyDescent="0.25">
      <c r="A11" s="2" t="s">
        <v>40</v>
      </c>
      <c r="B11" s="22">
        <v>46064</v>
      </c>
      <c r="C11" s="5">
        <v>0.33871527777777777</v>
      </c>
      <c r="D11" s="5">
        <v>0.73312500000000003</v>
      </c>
      <c r="E11" s="4">
        <f t="shared" si="0"/>
        <v>0.39440972222222226</v>
      </c>
      <c r="F11" s="8">
        <v>0.35416666666666669</v>
      </c>
      <c r="G11" s="8">
        <v>0.33333333333333331</v>
      </c>
      <c r="H11" s="4">
        <f t="shared" si="1"/>
        <v>4.0243055555555574E-2</v>
      </c>
      <c r="I11" s="14"/>
      <c r="J11" s="18" t="s">
        <v>11</v>
      </c>
      <c r="K11" s="38"/>
      <c r="L11" s="38"/>
    </row>
    <row r="12" spans="1:18" ht="24" x14ac:dyDescent="0.25">
      <c r="A12" s="39" t="s">
        <v>40</v>
      </c>
      <c r="B12" s="3">
        <v>46065</v>
      </c>
      <c r="C12" s="6">
        <v>0.32688657407407407</v>
      </c>
      <c r="D12" s="6">
        <v>0.68059027777777781</v>
      </c>
      <c r="E12" s="4">
        <f t="shared" si="0"/>
        <v>0.35370370370370374</v>
      </c>
      <c r="F12" s="8">
        <v>0.33333333333333331</v>
      </c>
      <c r="G12" s="8">
        <v>0.33333333333333331</v>
      </c>
      <c r="H12" s="4">
        <f t="shared" si="1"/>
        <v>2.0370370370370428E-2</v>
      </c>
      <c r="I12" s="14"/>
      <c r="J12" s="18" t="s">
        <v>12</v>
      </c>
      <c r="K12" s="38"/>
    </row>
    <row r="13" spans="1:18" ht="24" x14ac:dyDescent="0.25">
      <c r="A13" s="39" t="s">
        <v>40</v>
      </c>
      <c r="B13" s="22">
        <v>46066</v>
      </c>
      <c r="C13" s="5">
        <v>0.33030092592592591</v>
      </c>
      <c r="D13" s="5">
        <v>0.57216435185185188</v>
      </c>
      <c r="E13" s="4">
        <f t="shared" si="0"/>
        <v>0.24186342592592597</v>
      </c>
      <c r="F13" s="8">
        <v>0.22916666666666666</v>
      </c>
      <c r="G13" s="8">
        <v>0.33333333333333331</v>
      </c>
      <c r="H13" s="4">
        <f t="shared" si="1"/>
        <v>1.269675925925931E-2</v>
      </c>
      <c r="I13" s="14"/>
      <c r="J13" s="23" t="s">
        <v>13</v>
      </c>
      <c r="K13" s="38"/>
      <c r="L13" s="38"/>
    </row>
    <row r="14" spans="1:18" ht="24" x14ac:dyDescent="0.25">
      <c r="A14" s="39" t="s">
        <v>40</v>
      </c>
      <c r="B14" s="3">
        <v>46069</v>
      </c>
      <c r="C14" s="6">
        <v>0.3324537037037037</v>
      </c>
      <c r="D14" s="6">
        <v>0.75322916666666662</v>
      </c>
      <c r="E14" s="4">
        <f t="shared" si="0"/>
        <v>0.42077546296296292</v>
      </c>
      <c r="F14" s="8">
        <v>0.41666666666666669</v>
      </c>
      <c r="G14" s="8">
        <v>0.33333333333333331</v>
      </c>
      <c r="H14" s="4">
        <f t="shared" si="1"/>
        <v>4.1087962962962354E-3</v>
      </c>
      <c r="I14" s="14"/>
      <c r="J14" s="18" t="s">
        <v>38</v>
      </c>
      <c r="K14" s="38"/>
      <c r="L14" s="38"/>
    </row>
    <row r="15" spans="1:18" ht="24" x14ac:dyDescent="0.25">
      <c r="A15" s="2" t="s">
        <v>40</v>
      </c>
      <c r="B15" s="22">
        <v>46070</v>
      </c>
      <c r="C15" s="5">
        <v>0.33047453703703705</v>
      </c>
      <c r="D15" s="5">
        <v>0.67182870370370373</v>
      </c>
      <c r="E15" s="4">
        <f>D15-C15</f>
        <v>0.34135416666666668</v>
      </c>
      <c r="F15" s="8">
        <v>0.33333333333333331</v>
      </c>
      <c r="G15" s="8">
        <v>0.33333333333333331</v>
      </c>
      <c r="H15" s="4">
        <f t="shared" si="1"/>
        <v>8.0208333333333659E-3</v>
      </c>
      <c r="I15" s="14"/>
      <c r="J15" s="18" t="s">
        <v>10</v>
      </c>
      <c r="K15" s="38"/>
      <c r="L15" s="38"/>
    </row>
    <row r="16" spans="1:18" ht="24" x14ac:dyDescent="0.25">
      <c r="A16" s="39" t="s">
        <v>40</v>
      </c>
      <c r="B16" s="3">
        <v>46071</v>
      </c>
      <c r="C16" s="6">
        <v>0.33318287037037037</v>
      </c>
      <c r="D16" s="6">
        <v>0.6818981481481482</v>
      </c>
      <c r="E16" s="4">
        <f t="shared" si="0"/>
        <v>0.34871527777777783</v>
      </c>
      <c r="F16" s="8">
        <v>0.35416666666666669</v>
      </c>
      <c r="G16" s="8">
        <v>0.33333333333333331</v>
      </c>
      <c r="H16" s="4">
        <f t="shared" si="1"/>
        <v>-5.4513888888888529E-3</v>
      </c>
      <c r="I16" s="14"/>
      <c r="J16" s="18" t="s">
        <v>11</v>
      </c>
      <c r="K16" s="38"/>
      <c r="L16" s="38"/>
    </row>
    <row r="17" spans="1:12" ht="24" x14ac:dyDescent="0.25">
      <c r="A17" s="2" t="s">
        <v>40</v>
      </c>
      <c r="B17" s="22">
        <v>46072</v>
      </c>
      <c r="C17" s="5">
        <v>0.33108796296296295</v>
      </c>
      <c r="D17" s="5">
        <v>0.67469907407407403</v>
      </c>
      <c r="E17" s="4">
        <f t="shared" si="0"/>
        <v>0.34361111111111109</v>
      </c>
      <c r="F17" s="8">
        <v>0.33333333333333331</v>
      </c>
      <c r="G17" s="8">
        <v>0.33333333333333331</v>
      </c>
      <c r="H17" s="4">
        <f t="shared" si="1"/>
        <v>1.0277777777777775E-2</v>
      </c>
      <c r="I17" s="14"/>
      <c r="J17" s="18" t="s">
        <v>12</v>
      </c>
      <c r="K17" s="38"/>
      <c r="L17" s="38"/>
    </row>
    <row r="18" spans="1:12" ht="24" x14ac:dyDescent="0.25">
      <c r="A18" s="39" t="s">
        <v>40</v>
      </c>
      <c r="B18" s="3">
        <v>46073</v>
      </c>
      <c r="C18" s="6">
        <v>0.33372685185185186</v>
      </c>
      <c r="D18" s="6">
        <v>0.57658564814814817</v>
      </c>
      <c r="E18" s="4">
        <f t="shared" si="0"/>
        <v>0.24285879629629631</v>
      </c>
      <c r="F18" s="8">
        <v>0.22916666666666666</v>
      </c>
      <c r="G18" s="8">
        <v>0.33333333333333331</v>
      </c>
      <c r="H18" s="4">
        <f t="shared" si="1"/>
        <v>1.3692129629629651E-2</v>
      </c>
      <c r="I18" s="14"/>
      <c r="J18" s="23" t="s">
        <v>13</v>
      </c>
      <c r="K18" s="38"/>
      <c r="L18" s="38"/>
    </row>
    <row r="19" spans="1:12" ht="24" x14ac:dyDescent="0.25">
      <c r="A19" s="2" t="s">
        <v>40</v>
      </c>
      <c r="B19" s="22">
        <v>46076</v>
      </c>
      <c r="C19" s="6">
        <v>0.33333333333333331</v>
      </c>
      <c r="D19" s="6">
        <v>0.75</v>
      </c>
      <c r="E19" s="4">
        <f t="shared" si="0"/>
        <v>0.41666666666666669</v>
      </c>
      <c r="F19" s="8">
        <v>0.41666666666666669</v>
      </c>
      <c r="G19" s="8">
        <v>0.33333333333333331</v>
      </c>
      <c r="H19" s="4">
        <f t="shared" si="1"/>
        <v>0</v>
      </c>
      <c r="I19" s="14"/>
      <c r="J19" s="18" t="s">
        <v>38</v>
      </c>
      <c r="K19" s="38"/>
      <c r="L19" s="38"/>
    </row>
    <row r="20" spans="1:12" ht="24" x14ac:dyDescent="0.25">
      <c r="A20" s="39" t="s">
        <v>40</v>
      </c>
      <c r="B20" s="3">
        <v>46077</v>
      </c>
      <c r="C20" s="5">
        <v>0.33099537037037036</v>
      </c>
      <c r="D20" s="5">
        <v>0.67385416666666664</v>
      </c>
      <c r="E20" s="4">
        <f>D20-C20</f>
        <v>0.34285879629629629</v>
      </c>
      <c r="F20" s="8">
        <v>0.33333333333333331</v>
      </c>
      <c r="G20" s="8">
        <v>0.33333333333333331</v>
      </c>
      <c r="H20" s="4">
        <f t="shared" si="1"/>
        <v>9.5254629629629717E-3</v>
      </c>
      <c r="I20" s="14"/>
      <c r="J20" s="18" t="s">
        <v>10</v>
      </c>
      <c r="K20" s="38"/>
      <c r="L20" s="38"/>
    </row>
    <row r="21" spans="1:12" ht="24" x14ac:dyDescent="0.25">
      <c r="A21" s="2" t="s">
        <v>40</v>
      </c>
      <c r="B21" s="22">
        <v>46078</v>
      </c>
      <c r="C21" s="6">
        <v>0.34077546296296296</v>
      </c>
      <c r="D21" s="6">
        <v>0.68753472222222223</v>
      </c>
      <c r="E21" s="4">
        <f>D21-C21</f>
        <v>0.34675925925925927</v>
      </c>
      <c r="F21" s="8">
        <v>0.35416666666666669</v>
      </c>
      <c r="G21" s="8">
        <v>0.33333333333333331</v>
      </c>
      <c r="H21" s="4">
        <f t="shared" si="1"/>
        <v>-7.4074074074074181E-3</v>
      </c>
      <c r="I21" s="14"/>
      <c r="J21" s="18" t="s">
        <v>11</v>
      </c>
      <c r="L21" s="38"/>
    </row>
    <row r="22" spans="1:12" ht="24" x14ac:dyDescent="0.25">
      <c r="A22" s="39" t="s">
        <v>40</v>
      </c>
      <c r="B22" s="3">
        <v>46079</v>
      </c>
      <c r="C22" s="5">
        <v>0.33106481481481481</v>
      </c>
      <c r="D22" s="5">
        <v>0.61440972222222223</v>
      </c>
      <c r="E22" s="4">
        <f t="shared" si="0"/>
        <v>0.28334490740740742</v>
      </c>
      <c r="F22" s="8">
        <v>0.33333333333333331</v>
      </c>
      <c r="G22" s="8">
        <v>0.33333333333333331</v>
      </c>
      <c r="H22" s="4">
        <f t="shared" si="1"/>
        <v>-4.9988425925925895E-2</v>
      </c>
      <c r="I22" s="14"/>
      <c r="J22" s="18" t="s">
        <v>12</v>
      </c>
      <c r="K22" s="38"/>
      <c r="L22" s="38"/>
    </row>
    <row r="23" spans="1:12" ht="24" x14ac:dyDescent="0.25">
      <c r="A23" s="2" t="s">
        <v>40</v>
      </c>
      <c r="B23" s="22">
        <v>46080</v>
      </c>
      <c r="C23" s="6">
        <v>0.32620370370370372</v>
      </c>
      <c r="D23" s="6">
        <v>0.57060185185185186</v>
      </c>
      <c r="E23" s="4">
        <f t="shared" si="0"/>
        <v>0.24439814814814814</v>
      </c>
      <c r="F23" s="8">
        <v>0.22916666666666666</v>
      </c>
      <c r="G23" s="8">
        <v>0.33333333333333331</v>
      </c>
      <c r="H23" s="4">
        <f t="shared" si="1"/>
        <v>1.5231481481481485E-2</v>
      </c>
      <c r="I23" s="14"/>
      <c r="J23" s="23" t="s">
        <v>13</v>
      </c>
      <c r="K23" s="38"/>
      <c r="L23" s="38"/>
    </row>
    <row r="24" spans="1:12" x14ac:dyDescent="0.25">
      <c r="A24" s="9" t="s">
        <v>6</v>
      </c>
      <c r="B24" s="10"/>
      <c r="C24" s="11"/>
      <c r="D24" s="11"/>
      <c r="E24" s="12">
        <f>SUM(E4:E23)</f>
        <v>6.7440162037037048</v>
      </c>
      <c r="F24" s="12">
        <f>SUM(F4:F23)</f>
        <v>6.666666666666667</v>
      </c>
      <c r="G24" s="12">
        <f>SUM(G4:G23)</f>
        <v>6.6666666666666643</v>
      </c>
      <c r="H24" s="12">
        <f>SUM(H4:H23)</f>
        <v>7.7349537037037341E-2</v>
      </c>
      <c r="I24" s="4"/>
      <c r="J24" s="4"/>
      <c r="L24" s="40"/>
    </row>
    <row r="25" spans="1:12" ht="24" x14ac:dyDescent="0.25">
      <c r="A25" s="27" t="s">
        <v>29</v>
      </c>
      <c r="H25" s="26">
        <f>H24+'2026.01'!H27</f>
        <v>0.19497685185185212</v>
      </c>
    </row>
  </sheetData>
  <mergeCells count="3">
    <mergeCell ref="A1:D1"/>
    <mergeCell ref="E1:H2"/>
    <mergeCell ref="A2:D2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538D0-EECE-4863-9260-684A0A785821}">
  <dimension ref="A1:R27"/>
  <sheetViews>
    <sheetView workbookViewId="0">
      <selection activeCell="H27" sqref="H27"/>
    </sheetView>
  </sheetViews>
  <sheetFormatPr defaultRowHeight="15" x14ac:dyDescent="0.25"/>
  <cols>
    <col min="1" max="1" width="14.85546875" customWidth="1"/>
    <col min="2" max="2" width="10.140625" bestFit="1" customWidth="1"/>
    <col min="4" max="4" width="12.42578125" customWidth="1"/>
    <col min="5" max="7" width="11.85546875" customWidth="1"/>
    <col min="8" max="8" width="14.5703125" customWidth="1"/>
  </cols>
  <sheetData>
    <row r="1" spans="1:18" s="13" customFormat="1" ht="40.5" customHeight="1" x14ac:dyDescent="0.25">
      <c r="A1" s="50" t="s">
        <v>0</v>
      </c>
      <c r="B1" s="50"/>
      <c r="C1" s="50"/>
      <c r="D1" s="50"/>
      <c r="E1" s="51" t="s">
        <v>7</v>
      </c>
      <c r="F1" s="51"/>
      <c r="G1" s="51"/>
      <c r="H1" s="51"/>
      <c r="I1" s="16"/>
      <c r="J1" s="16"/>
      <c r="M1"/>
      <c r="N1" s="13" t="s">
        <v>20</v>
      </c>
      <c r="O1" s="13" t="s">
        <v>21</v>
      </c>
      <c r="P1" s="13" t="s">
        <v>22</v>
      </c>
      <c r="Q1" s="13" t="s">
        <v>35</v>
      </c>
      <c r="R1" s="13" t="s">
        <v>36</v>
      </c>
    </row>
    <row r="2" spans="1:18" ht="44.25" customHeight="1" x14ac:dyDescent="0.25">
      <c r="A2" s="52" t="s">
        <v>41</v>
      </c>
      <c r="B2" s="52"/>
      <c r="C2" s="52"/>
      <c r="D2" s="52"/>
      <c r="E2" s="51"/>
      <c r="F2" s="51"/>
      <c r="G2" s="51"/>
      <c r="H2" s="51"/>
      <c r="I2" s="16"/>
      <c r="J2" s="16"/>
      <c r="K2" s="14"/>
      <c r="L2" s="14"/>
      <c r="N2" s="14" t="s">
        <v>38</v>
      </c>
      <c r="O2" s="15">
        <v>0.41666666666666669</v>
      </c>
      <c r="P2" t="s">
        <v>16</v>
      </c>
      <c r="Q2" s="15">
        <v>0.375</v>
      </c>
      <c r="R2" t="s">
        <v>39</v>
      </c>
    </row>
    <row r="3" spans="1:18" ht="45" x14ac:dyDescent="0.25">
      <c r="A3" s="1" t="s">
        <v>1</v>
      </c>
      <c r="B3" s="1" t="s">
        <v>2</v>
      </c>
      <c r="C3" s="1" t="s">
        <v>3</v>
      </c>
      <c r="D3" s="1" t="s">
        <v>4</v>
      </c>
      <c r="E3" s="7" t="s">
        <v>5</v>
      </c>
      <c r="F3" s="7" t="s">
        <v>8</v>
      </c>
      <c r="G3" s="7" t="s">
        <v>14</v>
      </c>
      <c r="H3" s="7" t="s">
        <v>23</v>
      </c>
      <c r="I3" s="17"/>
      <c r="J3" s="19" t="s">
        <v>24</v>
      </c>
      <c r="K3" s="20" t="s">
        <v>25</v>
      </c>
      <c r="L3" s="21" t="s">
        <v>26</v>
      </c>
      <c r="N3" s="14" t="s">
        <v>10</v>
      </c>
      <c r="O3" s="15">
        <v>0.33333333333333331</v>
      </c>
      <c r="P3" t="s">
        <v>17</v>
      </c>
      <c r="Q3" s="15">
        <v>0.35416666666666669</v>
      </c>
      <c r="R3" t="s">
        <v>18</v>
      </c>
    </row>
    <row r="4" spans="1:18" x14ac:dyDescent="0.25">
      <c r="A4" s="2" t="s">
        <v>40</v>
      </c>
      <c r="B4" s="3">
        <v>46083</v>
      </c>
      <c r="C4" s="5">
        <v>0.33940972222222221</v>
      </c>
      <c r="D4" s="5">
        <v>0.71081018518518524</v>
      </c>
      <c r="E4" s="4">
        <f>D4-C4</f>
        <v>0.37140046296296303</v>
      </c>
      <c r="F4" s="8">
        <v>0.41666666666666669</v>
      </c>
      <c r="G4" s="8">
        <v>0.33333333333333331</v>
      </c>
      <c r="H4" s="4">
        <f>E4-F4</f>
        <v>-4.5266203703703656E-2</v>
      </c>
      <c r="I4" s="14"/>
      <c r="J4" s="18" t="s">
        <v>38</v>
      </c>
      <c r="K4" s="38"/>
      <c r="L4" s="38" t="s">
        <v>27</v>
      </c>
      <c r="N4" s="14" t="s">
        <v>11</v>
      </c>
      <c r="O4" s="15">
        <v>0.35416666666666669</v>
      </c>
      <c r="P4" t="s">
        <v>18</v>
      </c>
      <c r="Q4" s="15">
        <v>0.35416666666666669</v>
      </c>
      <c r="R4" t="s">
        <v>18</v>
      </c>
    </row>
    <row r="5" spans="1:18" x14ac:dyDescent="0.25">
      <c r="A5" s="39" t="s">
        <v>40</v>
      </c>
      <c r="B5" s="22">
        <v>46084</v>
      </c>
      <c r="C5" s="6">
        <v>0.33305555555555555</v>
      </c>
      <c r="D5" s="6">
        <v>0.69723379629629634</v>
      </c>
      <c r="E5" s="4">
        <f t="shared" ref="E5:E23" si="0">D5-C5</f>
        <v>0.36417824074074079</v>
      </c>
      <c r="F5" s="8">
        <v>0.33333333333333331</v>
      </c>
      <c r="G5" s="8">
        <v>0.33333333333333331</v>
      </c>
      <c r="H5" s="4">
        <f t="shared" ref="H5:H22" si="1">E5-F5</f>
        <v>3.0844907407407474E-2</v>
      </c>
      <c r="I5" s="14"/>
      <c r="J5" s="18" t="s">
        <v>10</v>
      </c>
      <c r="K5" s="38"/>
      <c r="L5" s="38"/>
      <c r="N5" s="14" t="s">
        <v>12</v>
      </c>
      <c r="O5" s="15">
        <v>0.33333333333333331</v>
      </c>
      <c r="P5" s="8" t="s">
        <v>17</v>
      </c>
      <c r="Q5" s="15">
        <v>0.35416666666666669</v>
      </c>
      <c r="R5" s="8" t="s">
        <v>18</v>
      </c>
    </row>
    <row r="6" spans="1:18" x14ac:dyDescent="0.25">
      <c r="A6" s="2" t="s">
        <v>40</v>
      </c>
      <c r="B6" s="3">
        <v>46085</v>
      </c>
      <c r="C6" s="5">
        <v>0.33373842592592595</v>
      </c>
      <c r="D6" s="5">
        <v>0.73100694444444447</v>
      </c>
      <c r="E6" s="4">
        <f t="shared" si="0"/>
        <v>0.39726851851851852</v>
      </c>
      <c r="F6" s="8">
        <v>0.35416666666666669</v>
      </c>
      <c r="G6" s="8">
        <v>0.33333333333333331</v>
      </c>
      <c r="H6" s="4">
        <f t="shared" si="1"/>
        <v>4.3101851851851836E-2</v>
      </c>
      <c r="I6" s="14"/>
      <c r="J6" s="18" t="s">
        <v>11</v>
      </c>
      <c r="K6" s="38"/>
      <c r="L6" s="38"/>
      <c r="N6" s="14" t="s">
        <v>13</v>
      </c>
      <c r="O6" s="15">
        <v>0.22916666666666666</v>
      </c>
      <c r="P6" t="s">
        <v>19</v>
      </c>
      <c r="Q6" s="15">
        <v>0.22916666666666666</v>
      </c>
      <c r="R6" t="s">
        <v>19</v>
      </c>
    </row>
    <row r="7" spans="1:18" x14ac:dyDescent="0.25">
      <c r="A7" s="39" t="s">
        <v>40</v>
      </c>
      <c r="B7" s="22">
        <v>46086</v>
      </c>
      <c r="C7" s="6">
        <v>0.33719907407407407</v>
      </c>
      <c r="D7" s="6">
        <v>0.66795138888888894</v>
      </c>
      <c r="E7" s="4">
        <f t="shared" si="0"/>
        <v>0.33075231481481487</v>
      </c>
      <c r="F7" s="8">
        <v>0.33333333333333331</v>
      </c>
      <c r="G7" s="8">
        <v>0.33333333333333331</v>
      </c>
      <c r="H7" s="4">
        <f t="shared" si="1"/>
        <v>-2.5810185185184409E-3</v>
      </c>
      <c r="I7" s="14"/>
      <c r="J7" s="18" t="s">
        <v>12</v>
      </c>
      <c r="K7" s="38"/>
      <c r="L7" s="38"/>
    </row>
    <row r="8" spans="1:18" x14ac:dyDescent="0.25">
      <c r="A8" s="2" t="s">
        <v>40</v>
      </c>
      <c r="B8" s="3">
        <v>46087</v>
      </c>
      <c r="C8" s="5">
        <v>0.33719907407407407</v>
      </c>
      <c r="D8" s="5">
        <v>0.5625</v>
      </c>
      <c r="E8" s="4">
        <f t="shared" si="0"/>
        <v>0.22530092592592593</v>
      </c>
      <c r="F8" s="8">
        <v>0.22916666666666666</v>
      </c>
      <c r="G8" s="8">
        <v>0.33333333333333331</v>
      </c>
      <c r="H8" s="4">
        <f t="shared" si="1"/>
        <v>-3.8657407407407252E-3</v>
      </c>
      <c r="I8" s="14"/>
      <c r="J8" s="23" t="s">
        <v>13</v>
      </c>
      <c r="K8" s="38"/>
      <c r="L8" s="38"/>
    </row>
    <row r="9" spans="1:18" x14ac:dyDescent="0.25">
      <c r="A9" s="39" t="s">
        <v>40</v>
      </c>
      <c r="B9" s="22">
        <v>46090</v>
      </c>
      <c r="C9" s="6">
        <v>0.33721064814814816</v>
      </c>
      <c r="D9" s="6">
        <v>0.75384259259259256</v>
      </c>
      <c r="E9" s="4">
        <f t="shared" si="0"/>
        <v>0.4166319444444444</v>
      </c>
      <c r="F9" s="8">
        <v>0.41666666666666669</v>
      </c>
      <c r="G9" s="8">
        <v>0.33333333333333331</v>
      </c>
      <c r="H9" s="4">
        <f t="shared" si="1"/>
        <v>-3.4722222222283161E-5</v>
      </c>
      <c r="I9" s="14"/>
      <c r="J9" s="18" t="s">
        <v>38</v>
      </c>
      <c r="K9" s="38"/>
      <c r="L9" s="38"/>
    </row>
    <row r="10" spans="1:18" x14ac:dyDescent="0.25">
      <c r="A10" s="2" t="s">
        <v>40</v>
      </c>
      <c r="B10" s="3">
        <v>46091</v>
      </c>
      <c r="C10" s="5">
        <v>0.32337962962962963</v>
      </c>
      <c r="D10" s="5">
        <v>0.67192129629629627</v>
      </c>
      <c r="E10" s="4">
        <f t="shared" si="0"/>
        <v>0.34854166666666664</v>
      </c>
      <c r="F10" s="8">
        <v>0.33333333333333331</v>
      </c>
      <c r="G10" s="8">
        <v>0.33333333333333331</v>
      </c>
      <c r="H10" s="4">
        <f t="shared" si="1"/>
        <v>1.5208333333333324E-2</v>
      </c>
      <c r="I10" s="14"/>
      <c r="J10" s="18" t="s">
        <v>10</v>
      </c>
      <c r="K10" s="38"/>
      <c r="L10" s="38"/>
    </row>
    <row r="11" spans="1:18" x14ac:dyDescent="0.25">
      <c r="A11" s="39" t="s">
        <v>40</v>
      </c>
      <c r="B11" s="22">
        <v>46092</v>
      </c>
      <c r="C11" s="6">
        <v>0.33204861111111111</v>
      </c>
      <c r="D11" s="6">
        <v>0.67038194444444443</v>
      </c>
      <c r="E11" s="4">
        <f t="shared" si="0"/>
        <v>0.33833333333333332</v>
      </c>
      <c r="F11" s="8">
        <v>0.35416666666666669</v>
      </c>
      <c r="G11" s="8">
        <v>0.33333333333333331</v>
      </c>
      <c r="H11" s="4">
        <f t="shared" si="1"/>
        <v>-1.5833333333333366E-2</v>
      </c>
      <c r="I11" s="14"/>
      <c r="J11" s="18" t="s">
        <v>11</v>
      </c>
      <c r="K11" s="38"/>
      <c r="L11" s="38"/>
    </row>
    <row r="12" spans="1:18" x14ac:dyDescent="0.25">
      <c r="A12" s="2" t="s">
        <v>40</v>
      </c>
      <c r="B12" s="3">
        <v>46093</v>
      </c>
      <c r="C12" s="5">
        <v>0.32693287037037039</v>
      </c>
      <c r="D12" s="5">
        <v>0.67023148148148148</v>
      </c>
      <c r="E12" s="4">
        <f t="shared" si="0"/>
        <v>0.3432986111111111</v>
      </c>
      <c r="F12" s="8">
        <v>0.33333333333333331</v>
      </c>
      <c r="G12" s="8">
        <v>0.33333333333333331</v>
      </c>
      <c r="H12" s="4">
        <f t="shared" si="1"/>
        <v>9.9652777777777812E-3</v>
      </c>
      <c r="I12" s="14"/>
      <c r="J12" s="18" t="s">
        <v>12</v>
      </c>
      <c r="K12" s="38"/>
    </row>
    <row r="13" spans="1:18" x14ac:dyDescent="0.25">
      <c r="A13" s="39" t="s">
        <v>40</v>
      </c>
      <c r="B13" s="22">
        <v>46094</v>
      </c>
      <c r="C13" s="6">
        <v>0.33333333333333331</v>
      </c>
      <c r="D13" s="37">
        <v>0.57512731481481483</v>
      </c>
      <c r="E13" s="4">
        <f t="shared" si="0"/>
        <v>0.24179398148148151</v>
      </c>
      <c r="F13" s="8">
        <v>0.22916666666666666</v>
      </c>
      <c r="G13" s="8">
        <v>0.33333333333333331</v>
      </c>
      <c r="H13" s="4">
        <f t="shared" si="1"/>
        <v>1.2627314814814855E-2</v>
      </c>
      <c r="I13" s="14"/>
      <c r="J13" s="23" t="s">
        <v>13</v>
      </c>
      <c r="K13" s="38"/>
      <c r="L13" s="38"/>
    </row>
    <row r="14" spans="1:18" x14ac:dyDescent="0.25">
      <c r="A14" s="2" t="s">
        <v>40</v>
      </c>
      <c r="B14" s="3">
        <v>46097</v>
      </c>
      <c r="C14" s="5">
        <v>0.33250000000000002</v>
      </c>
      <c r="D14" s="5">
        <v>0.75207175925925929</v>
      </c>
      <c r="E14" s="4">
        <f t="shared" si="0"/>
        <v>0.41957175925925927</v>
      </c>
      <c r="F14" s="8">
        <v>0.41666666666666669</v>
      </c>
      <c r="G14" s="8">
        <v>0.33333333333333331</v>
      </c>
      <c r="H14" s="4">
        <f t="shared" si="1"/>
        <v>2.9050925925925841E-3</v>
      </c>
      <c r="I14" s="14"/>
      <c r="J14" s="18" t="s">
        <v>38</v>
      </c>
      <c r="K14" s="38"/>
      <c r="L14" s="38"/>
    </row>
    <row r="15" spans="1:18" x14ac:dyDescent="0.25">
      <c r="A15" s="39" t="s">
        <v>40</v>
      </c>
      <c r="B15" s="22">
        <v>46098</v>
      </c>
      <c r="C15" s="6">
        <v>0.33027777777777778</v>
      </c>
      <c r="D15" s="6">
        <v>0.67211805555555559</v>
      </c>
      <c r="E15" s="4">
        <f>D15-C15</f>
        <v>0.34184027777777781</v>
      </c>
      <c r="F15" s="8">
        <v>0.33333333333333331</v>
      </c>
      <c r="G15" s="8">
        <v>0.33333333333333331</v>
      </c>
      <c r="H15" s="4">
        <f t="shared" si="1"/>
        <v>8.5069444444444975E-3</v>
      </c>
      <c r="I15" s="14"/>
      <c r="J15" s="18" t="s">
        <v>10</v>
      </c>
      <c r="K15" s="38"/>
      <c r="L15" s="38"/>
    </row>
    <row r="16" spans="1:18" x14ac:dyDescent="0.25">
      <c r="A16" s="2" t="s">
        <v>40</v>
      </c>
      <c r="B16" s="3">
        <v>46099</v>
      </c>
      <c r="C16" s="5">
        <v>0.33167824074074076</v>
      </c>
      <c r="D16" s="5">
        <v>0.69089120370370372</v>
      </c>
      <c r="E16" s="4">
        <f t="shared" si="0"/>
        <v>0.35921296296296296</v>
      </c>
      <c r="F16" s="8">
        <v>0.35416666666666669</v>
      </c>
      <c r="G16" s="8">
        <v>0.33333333333333331</v>
      </c>
      <c r="H16" s="4">
        <f t="shared" si="1"/>
        <v>5.046296296296271E-3</v>
      </c>
      <c r="I16" s="14"/>
      <c r="J16" s="18" t="s">
        <v>11</v>
      </c>
      <c r="K16" s="38"/>
      <c r="L16" s="38"/>
    </row>
    <row r="17" spans="1:12" x14ac:dyDescent="0.25">
      <c r="A17" s="39" t="s">
        <v>40</v>
      </c>
      <c r="B17" s="22">
        <v>46100</v>
      </c>
      <c r="C17" s="6">
        <v>0.3303935185185185</v>
      </c>
      <c r="D17" s="6">
        <v>0.68099537037037039</v>
      </c>
      <c r="E17" s="4">
        <f t="shared" si="0"/>
        <v>0.35060185185185189</v>
      </c>
      <c r="F17" s="8">
        <v>0.33333333333333331</v>
      </c>
      <c r="G17" s="8">
        <v>0.33333333333333331</v>
      </c>
      <c r="H17" s="4">
        <f t="shared" si="1"/>
        <v>1.7268518518518572E-2</v>
      </c>
      <c r="I17" s="14"/>
      <c r="J17" s="18" t="s">
        <v>12</v>
      </c>
      <c r="K17" s="38"/>
      <c r="L17" s="38"/>
    </row>
    <row r="18" spans="1:12" x14ac:dyDescent="0.25">
      <c r="A18" s="2" t="s">
        <v>40</v>
      </c>
      <c r="B18" s="3">
        <v>46101</v>
      </c>
      <c r="C18" s="5">
        <v>0.33038194444444446</v>
      </c>
      <c r="D18" s="5">
        <v>0.50452546296296297</v>
      </c>
      <c r="E18" s="4">
        <f t="shared" si="0"/>
        <v>0.1741435185185185</v>
      </c>
      <c r="F18" s="8">
        <v>0.22916666666666666</v>
      </c>
      <c r="G18" s="8">
        <v>0.33333333333333331</v>
      </c>
      <c r="H18" s="4">
        <f t="shared" si="1"/>
        <v>-5.5023148148148154E-2</v>
      </c>
      <c r="I18" s="14"/>
      <c r="J18" s="23" t="s">
        <v>13</v>
      </c>
      <c r="K18" s="38"/>
      <c r="L18" s="38"/>
    </row>
    <row r="19" spans="1:12" x14ac:dyDescent="0.25">
      <c r="A19" s="39" t="s">
        <v>40</v>
      </c>
      <c r="B19" s="22">
        <v>46104</v>
      </c>
      <c r="C19" s="6">
        <v>0.33098379629629632</v>
      </c>
      <c r="D19" s="6">
        <v>0.71384259259259264</v>
      </c>
      <c r="E19" s="4">
        <f t="shared" si="0"/>
        <v>0.38285879629629632</v>
      </c>
      <c r="F19" s="8">
        <v>0.41666666666666669</v>
      </c>
      <c r="G19" s="8">
        <v>0.33333333333333331</v>
      </c>
      <c r="H19" s="4">
        <f t="shared" si="1"/>
        <v>-3.3807870370370363E-2</v>
      </c>
      <c r="I19" s="14"/>
      <c r="J19" s="18" t="s">
        <v>38</v>
      </c>
      <c r="K19" s="38"/>
      <c r="L19" s="38"/>
    </row>
    <row r="20" spans="1:12" x14ac:dyDescent="0.25">
      <c r="A20" s="2" t="s">
        <v>40</v>
      </c>
      <c r="B20" s="3">
        <v>46105</v>
      </c>
      <c r="C20" s="5">
        <v>0.33333333333333331</v>
      </c>
      <c r="D20" s="5">
        <v>0.66666666666666663</v>
      </c>
      <c r="E20" s="4">
        <f>D20-C20</f>
        <v>0.33333333333333331</v>
      </c>
      <c r="F20" s="8">
        <v>0.33333333333333331</v>
      </c>
      <c r="G20" s="8">
        <v>0.33333333333333331</v>
      </c>
      <c r="H20" s="4">
        <f t="shared" si="1"/>
        <v>0</v>
      </c>
      <c r="I20" s="14"/>
      <c r="J20" s="18" t="s">
        <v>10</v>
      </c>
      <c r="K20" s="38"/>
      <c r="L20" s="38"/>
    </row>
    <row r="21" spans="1:12" x14ac:dyDescent="0.25">
      <c r="A21" s="39" t="s">
        <v>40</v>
      </c>
      <c r="B21" s="22">
        <v>46106</v>
      </c>
      <c r="C21" s="6">
        <v>0.33333333333333331</v>
      </c>
      <c r="D21" s="6">
        <v>0.6875</v>
      </c>
      <c r="E21" s="4">
        <f>D21-C21</f>
        <v>0.35416666666666669</v>
      </c>
      <c r="F21" s="8">
        <v>0.35416666666666669</v>
      </c>
      <c r="G21" s="8">
        <v>0.33333333333333331</v>
      </c>
      <c r="H21" s="4">
        <f t="shared" si="1"/>
        <v>0</v>
      </c>
      <c r="I21" s="14"/>
      <c r="J21" s="18" t="s">
        <v>11</v>
      </c>
      <c r="L21" s="38"/>
    </row>
    <row r="22" spans="1:12" x14ac:dyDescent="0.25">
      <c r="A22" s="2" t="s">
        <v>40</v>
      </c>
      <c r="B22" s="3">
        <v>46107</v>
      </c>
      <c r="C22" s="5">
        <v>0.33333333333333331</v>
      </c>
      <c r="D22" s="5">
        <v>0.66666666666666663</v>
      </c>
      <c r="E22" s="4">
        <f t="shared" si="0"/>
        <v>0.33333333333333331</v>
      </c>
      <c r="F22" s="8">
        <v>0.33333333333333331</v>
      </c>
      <c r="G22" s="8">
        <v>0.33333333333333331</v>
      </c>
      <c r="H22" s="4">
        <f t="shared" si="1"/>
        <v>0</v>
      </c>
      <c r="I22" s="14"/>
      <c r="J22" s="18" t="s">
        <v>12</v>
      </c>
      <c r="K22" s="38"/>
      <c r="L22" s="38"/>
    </row>
    <row r="23" spans="1:12" x14ac:dyDescent="0.25">
      <c r="A23" s="39" t="s">
        <v>40</v>
      </c>
      <c r="B23" s="22">
        <v>46108</v>
      </c>
      <c r="C23" s="6">
        <v>0.33333333333333331</v>
      </c>
      <c r="D23" s="6">
        <v>0.5625</v>
      </c>
      <c r="E23" s="4">
        <f t="shared" si="0"/>
        <v>0.22916666666666669</v>
      </c>
      <c r="F23" s="8">
        <v>0.22916666666666666</v>
      </c>
      <c r="G23" s="8">
        <v>0.33333333333333331</v>
      </c>
      <c r="H23" s="4">
        <f>E23-F23</f>
        <v>0</v>
      </c>
      <c r="I23" s="14"/>
      <c r="J23" s="23" t="s">
        <v>13</v>
      </c>
      <c r="K23" s="38"/>
      <c r="L23" s="38"/>
    </row>
    <row r="24" spans="1:12" x14ac:dyDescent="0.25">
      <c r="A24" s="2" t="s">
        <v>40</v>
      </c>
      <c r="B24" s="3">
        <v>46111</v>
      </c>
      <c r="C24" s="5">
        <v>0.33659722222222221</v>
      </c>
      <c r="D24" s="5">
        <v>0.7515856481481481</v>
      </c>
      <c r="E24" s="4">
        <f t="shared" ref="E24:E25" si="2">D24-C24</f>
        <v>0.41498842592592589</v>
      </c>
      <c r="F24" s="8">
        <v>0.41666666666666669</v>
      </c>
      <c r="G24" s="8">
        <v>0.33333333333333331</v>
      </c>
      <c r="H24" s="4">
        <f t="shared" ref="H24:H25" si="3">E24-F24</f>
        <v>-1.6782407407407995E-3</v>
      </c>
      <c r="I24" s="14"/>
      <c r="J24" s="18" t="s">
        <v>38</v>
      </c>
      <c r="K24" s="38"/>
      <c r="L24" s="38"/>
    </row>
    <row r="25" spans="1:12" x14ac:dyDescent="0.25">
      <c r="A25" s="39" t="s">
        <v>40</v>
      </c>
      <c r="B25" s="22">
        <v>46112</v>
      </c>
      <c r="C25" s="6">
        <v>0.29259259259259257</v>
      </c>
      <c r="D25" s="6">
        <v>0.68756944444444446</v>
      </c>
      <c r="E25" s="4">
        <f t="shared" si="2"/>
        <v>0.39497685185185188</v>
      </c>
      <c r="F25" s="8">
        <v>0.33333333333333331</v>
      </c>
      <c r="G25" s="8">
        <v>0.33333333333333331</v>
      </c>
      <c r="H25" s="4">
        <f t="shared" si="3"/>
        <v>6.164351851851857E-2</v>
      </c>
      <c r="I25" s="14"/>
      <c r="J25" s="18" t="s">
        <v>10</v>
      </c>
      <c r="K25" s="38"/>
      <c r="L25" s="38"/>
    </row>
    <row r="26" spans="1:12" x14ac:dyDescent="0.25">
      <c r="A26" s="9" t="s">
        <v>6</v>
      </c>
      <c r="B26" s="10"/>
      <c r="C26" s="11"/>
      <c r="D26" s="11"/>
      <c r="E26" s="12">
        <f>SUM(E4:E25)</f>
        <v>7.4656944444444449</v>
      </c>
      <c r="F26" s="12">
        <f>SUM(F4:F25)</f>
        <v>7.416666666666667</v>
      </c>
      <c r="G26" s="12">
        <f>SUM(G4:G25)</f>
        <v>7.3333333333333304</v>
      </c>
      <c r="H26" s="12">
        <f>SUM(H4:H25)</f>
        <v>4.9027777777777976E-2</v>
      </c>
      <c r="I26" s="4"/>
      <c r="J26" s="4"/>
      <c r="L26" s="40"/>
    </row>
    <row r="27" spans="1:12" ht="24" x14ac:dyDescent="0.25">
      <c r="A27" s="27" t="s">
        <v>29</v>
      </c>
      <c r="H27" s="26">
        <f>H26+'2026.02'!H25</f>
        <v>0.2440046296296301</v>
      </c>
    </row>
  </sheetData>
  <mergeCells count="3">
    <mergeCell ref="A1:D1"/>
    <mergeCell ref="E1:H2"/>
    <mergeCell ref="A2:D2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A6E86-3315-490A-AEB5-624C6B920746}">
  <dimension ref="A1:R27"/>
  <sheetViews>
    <sheetView topLeftCell="A10" workbookViewId="0">
      <selection activeCell="H27" sqref="H27"/>
    </sheetView>
  </sheetViews>
  <sheetFormatPr defaultRowHeight="15" x14ac:dyDescent="0.25"/>
  <cols>
    <col min="2" max="2" width="10.7109375" customWidth="1"/>
    <col min="8" max="8" width="14.42578125" customWidth="1"/>
  </cols>
  <sheetData>
    <row r="1" spans="1:18" ht="75" x14ac:dyDescent="0.25">
      <c r="A1" s="50" t="s">
        <v>0</v>
      </c>
      <c r="B1" s="50"/>
      <c r="C1" s="50"/>
      <c r="D1" s="50"/>
      <c r="E1" s="51" t="s">
        <v>7</v>
      </c>
      <c r="F1" s="51"/>
      <c r="G1" s="51"/>
      <c r="H1" s="51"/>
      <c r="I1" s="16"/>
      <c r="J1" s="16"/>
      <c r="K1" s="13"/>
      <c r="L1" s="13"/>
      <c r="N1" s="13" t="s">
        <v>20</v>
      </c>
      <c r="O1" s="13" t="s">
        <v>21</v>
      </c>
      <c r="P1" s="13" t="s">
        <v>22</v>
      </c>
      <c r="Q1" s="13" t="s">
        <v>35</v>
      </c>
      <c r="R1" s="13" t="s">
        <v>36</v>
      </c>
    </row>
    <row r="2" spans="1:18" ht="35.25" customHeight="1" x14ac:dyDescent="0.25">
      <c r="A2" s="52" t="s">
        <v>42</v>
      </c>
      <c r="B2" s="52"/>
      <c r="C2" s="52"/>
      <c r="D2" s="52"/>
      <c r="E2" s="51"/>
      <c r="F2" s="51"/>
      <c r="G2" s="51"/>
      <c r="H2" s="51"/>
      <c r="I2" s="16"/>
      <c r="J2" s="16"/>
      <c r="K2" s="14"/>
      <c r="L2" s="14"/>
      <c r="N2" s="14" t="s">
        <v>38</v>
      </c>
      <c r="O2" s="15">
        <v>0.41666666666666669</v>
      </c>
      <c r="P2" t="s">
        <v>16</v>
      </c>
      <c r="Q2" s="15">
        <v>0.375</v>
      </c>
      <c r="R2" t="s">
        <v>39</v>
      </c>
    </row>
    <row r="3" spans="1:18" ht="45" x14ac:dyDescent="0.25">
      <c r="A3" s="1" t="s">
        <v>1</v>
      </c>
      <c r="B3" s="1" t="s">
        <v>2</v>
      </c>
      <c r="C3" s="1" t="s">
        <v>3</v>
      </c>
      <c r="D3" s="1" t="s">
        <v>4</v>
      </c>
      <c r="E3" s="7" t="s">
        <v>5</v>
      </c>
      <c r="F3" s="7" t="s">
        <v>8</v>
      </c>
      <c r="G3" s="7" t="s">
        <v>14</v>
      </c>
      <c r="H3" s="7" t="s">
        <v>23</v>
      </c>
      <c r="I3" s="17"/>
      <c r="J3" s="19" t="s">
        <v>24</v>
      </c>
      <c r="K3" s="20" t="s">
        <v>25</v>
      </c>
      <c r="L3" s="21" t="s">
        <v>26</v>
      </c>
      <c r="N3" s="14" t="s">
        <v>10</v>
      </c>
      <c r="O3" s="15">
        <v>0.33333333333333331</v>
      </c>
      <c r="P3" t="s">
        <v>17</v>
      </c>
      <c r="Q3" s="15">
        <v>0.35416666666666669</v>
      </c>
      <c r="R3" t="s">
        <v>18</v>
      </c>
    </row>
    <row r="4" spans="1:18" ht="24" x14ac:dyDescent="0.25">
      <c r="A4" s="2" t="s">
        <v>44</v>
      </c>
      <c r="B4" s="3">
        <v>46113</v>
      </c>
      <c r="C4" s="5">
        <v>0.33791666666666664</v>
      </c>
      <c r="D4" s="5">
        <v>0.67001157407407408</v>
      </c>
      <c r="E4" s="4">
        <f t="shared" ref="E4:E19" si="0">D4-C4</f>
        <v>0.33209490740740744</v>
      </c>
      <c r="F4" s="8">
        <v>0.35416666666666669</v>
      </c>
      <c r="G4" s="8">
        <v>0.33333333333333331</v>
      </c>
      <c r="H4" s="4">
        <f>E4-F4</f>
        <v>-2.2071759259259249E-2</v>
      </c>
      <c r="I4" s="14"/>
      <c r="J4" s="18" t="s">
        <v>11</v>
      </c>
      <c r="K4" s="42"/>
      <c r="L4" s="43"/>
      <c r="N4" s="14" t="s">
        <v>11</v>
      </c>
      <c r="O4" s="15">
        <v>0.35416666666666669</v>
      </c>
      <c r="P4" t="s">
        <v>18</v>
      </c>
      <c r="Q4" s="15">
        <v>0.35416666666666669</v>
      </c>
      <c r="R4" t="s">
        <v>18</v>
      </c>
    </row>
    <row r="5" spans="1:18" ht="24" x14ac:dyDescent="0.25">
      <c r="A5" s="39" t="s">
        <v>44</v>
      </c>
      <c r="B5" s="22">
        <v>46114</v>
      </c>
      <c r="C5" s="6">
        <v>0.33170138888888889</v>
      </c>
      <c r="D5" s="6">
        <v>0.59759259259259256</v>
      </c>
      <c r="E5" s="4">
        <f t="shared" si="0"/>
        <v>0.26589120370370367</v>
      </c>
      <c r="F5" s="8">
        <v>0.33333333333333331</v>
      </c>
      <c r="G5" s="8">
        <v>0.33333333333333331</v>
      </c>
      <c r="H5" s="4">
        <f t="shared" ref="H5:H23" si="1">E5-F5</f>
        <v>-6.7442129629629644E-2</v>
      </c>
      <c r="I5" s="14"/>
      <c r="J5" s="18" t="s">
        <v>12</v>
      </c>
      <c r="K5" s="44"/>
      <c r="N5" s="14" t="s">
        <v>12</v>
      </c>
      <c r="O5" s="15">
        <v>0.33333333333333331</v>
      </c>
      <c r="P5" s="8" t="s">
        <v>17</v>
      </c>
      <c r="Q5" s="15">
        <v>0.35416666666666669</v>
      </c>
      <c r="R5" s="8" t="s">
        <v>18</v>
      </c>
    </row>
    <row r="6" spans="1:18" ht="24" x14ac:dyDescent="0.25">
      <c r="A6" s="2" t="s">
        <v>44</v>
      </c>
      <c r="B6" s="3">
        <v>46115</v>
      </c>
      <c r="C6" s="41"/>
      <c r="D6" s="41"/>
      <c r="E6" s="4">
        <f t="shared" si="0"/>
        <v>0</v>
      </c>
      <c r="F6" s="8">
        <v>0</v>
      </c>
      <c r="G6" s="8">
        <v>0</v>
      </c>
      <c r="H6" s="4">
        <f t="shared" si="1"/>
        <v>0</v>
      </c>
      <c r="I6" s="14"/>
      <c r="J6" s="23" t="s">
        <v>13</v>
      </c>
      <c r="K6" s="43"/>
      <c r="L6" s="45" t="s">
        <v>43</v>
      </c>
      <c r="N6" s="14" t="s">
        <v>13</v>
      </c>
      <c r="O6" s="15">
        <v>0.22916666666666666</v>
      </c>
      <c r="P6" t="s">
        <v>19</v>
      </c>
      <c r="Q6" s="15">
        <v>0.22916666666666666</v>
      </c>
      <c r="R6" t="s">
        <v>19</v>
      </c>
    </row>
    <row r="7" spans="1:18" ht="24" x14ac:dyDescent="0.25">
      <c r="A7" s="39" t="s">
        <v>44</v>
      </c>
      <c r="B7" s="22">
        <v>46118</v>
      </c>
      <c r="C7" s="41"/>
      <c r="D7" s="41"/>
      <c r="E7" s="4">
        <f t="shared" si="0"/>
        <v>0</v>
      </c>
      <c r="F7" s="8">
        <v>0</v>
      </c>
      <c r="G7" s="8">
        <v>0</v>
      </c>
      <c r="H7" s="4">
        <f t="shared" si="1"/>
        <v>0</v>
      </c>
      <c r="I7" s="14"/>
      <c r="J7" s="18" t="s">
        <v>38</v>
      </c>
      <c r="K7" s="43"/>
      <c r="L7" s="45" t="s">
        <v>43</v>
      </c>
    </row>
    <row r="8" spans="1:18" ht="24" x14ac:dyDescent="0.25">
      <c r="A8" s="2" t="s">
        <v>44</v>
      </c>
      <c r="B8" s="3">
        <v>46119</v>
      </c>
      <c r="C8" s="5">
        <v>0.33864583333333331</v>
      </c>
      <c r="D8" s="5">
        <v>0.66708333333333336</v>
      </c>
      <c r="E8" s="4">
        <f t="shared" si="0"/>
        <v>0.32843750000000005</v>
      </c>
      <c r="F8" s="8">
        <v>0.33333333333333331</v>
      </c>
      <c r="G8" s="8">
        <v>0.33333333333333331</v>
      </c>
      <c r="H8" s="4">
        <f t="shared" si="1"/>
        <v>-4.895833333333266E-3</v>
      </c>
      <c r="I8" s="14"/>
      <c r="J8" s="18" t="s">
        <v>10</v>
      </c>
      <c r="K8" s="43"/>
      <c r="L8" s="45" t="s">
        <v>27</v>
      </c>
    </row>
    <row r="9" spans="1:18" ht="24" x14ac:dyDescent="0.25">
      <c r="A9" s="39" t="s">
        <v>44</v>
      </c>
      <c r="B9" s="22">
        <v>46120</v>
      </c>
      <c r="C9" s="6">
        <v>0.33234953703703701</v>
      </c>
      <c r="D9" s="6">
        <v>0.68083333333333329</v>
      </c>
      <c r="E9" s="4">
        <f t="shared" si="0"/>
        <v>0.34848379629629628</v>
      </c>
      <c r="F9" s="8">
        <v>0.35416666666666669</v>
      </c>
      <c r="G9" s="8">
        <v>0.33333333333333331</v>
      </c>
      <c r="H9" s="4">
        <f t="shared" si="1"/>
        <v>-5.6828703703704075E-3</v>
      </c>
      <c r="I9" s="14"/>
      <c r="J9" s="18" t="s">
        <v>11</v>
      </c>
      <c r="K9" s="43"/>
      <c r="L9" s="45" t="s">
        <v>27</v>
      </c>
    </row>
    <row r="10" spans="1:18" ht="24" x14ac:dyDescent="0.25">
      <c r="A10" s="2" t="s">
        <v>44</v>
      </c>
      <c r="B10" s="3">
        <v>46121</v>
      </c>
      <c r="C10" s="5">
        <v>0.33244212962962966</v>
      </c>
      <c r="D10" s="5">
        <v>0.67466435185185181</v>
      </c>
      <c r="E10" s="4">
        <f t="shared" si="0"/>
        <v>0.34222222222222215</v>
      </c>
      <c r="F10" s="8">
        <v>0.33333333333333331</v>
      </c>
      <c r="G10" s="8">
        <v>0.33333333333333331</v>
      </c>
      <c r="H10" s="4">
        <f t="shared" si="1"/>
        <v>8.8888888888888351E-3</v>
      </c>
      <c r="I10" s="14"/>
      <c r="J10" s="18" t="s">
        <v>12</v>
      </c>
      <c r="K10" s="43"/>
      <c r="L10" s="45" t="s">
        <v>27</v>
      </c>
    </row>
    <row r="11" spans="1:18" ht="24" x14ac:dyDescent="0.25">
      <c r="A11" s="39" t="s">
        <v>44</v>
      </c>
      <c r="B11" s="22">
        <v>46122</v>
      </c>
      <c r="C11" s="6">
        <v>0.33186342592592594</v>
      </c>
      <c r="D11" s="6">
        <v>0.56126157407407407</v>
      </c>
      <c r="E11" s="4">
        <f t="shared" si="0"/>
        <v>0.22939814814814813</v>
      </c>
      <c r="F11" s="8">
        <v>0.22916666666666666</v>
      </c>
      <c r="G11" s="8">
        <v>0.33333333333333331</v>
      </c>
      <c r="H11" s="4">
        <f t="shared" si="1"/>
        <v>2.3148148148147141E-4</v>
      </c>
      <c r="I11" s="14"/>
      <c r="J11" s="23" t="s">
        <v>13</v>
      </c>
      <c r="K11" s="43"/>
      <c r="L11" s="45" t="s">
        <v>27</v>
      </c>
    </row>
    <row r="12" spans="1:18" ht="24" x14ac:dyDescent="0.25">
      <c r="A12" s="2" t="s">
        <v>44</v>
      </c>
      <c r="B12" s="3">
        <v>46125</v>
      </c>
      <c r="C12" s="5">
        <v>0.33333333333333331</v>
      </c>
      <c r="D12" s="5">
        <v>0.75</v>
      </c>
      <c r="E12" s="4">
        <f t="shared" si="0"/>
        <v>0.41666666666666669</v>
      </c>
      <c r="F12" s="8">
        <v>0.41666666666666669</v>
      </c>
      <c r="G12" s="8">
        <v>0.33333333333333331</v>
      </c>
      <c r="H12" s="4">
        <f t="shared" si="1"/>
        <v>0</v>
      </c>
      <c r="I12" s="14"/>
      <c r="J12" s="18" t="s">
        <v>38</v>
      </c>
      <c r="K12" s="43"/>
    </row>
    <row r="13" spans="1:18" ht="24" x14ac:dyDescent="0.25">
      <c r="A13" s="39" t="s">
        <v>44</v>
      </c>
      <c r="B13" s="22">
        <v>46126</v>
      </c>
      <c r="C13" s="5">
        <v>0.33243055555555556</v>
      </c>
      <c r="D13" s="5">
        <v>0.68035879629629625</v>
      </c>
      <c r="E13" s="4">
        <f t="shared" si="0"/>
        <v>0.34792824074074069</v>
      </c>
      <c r="F13" s="8">
        <v>0.33333333333333331</v>
      </c>
      <c r="G13" s="8">
        <v>0.33333333333333331</v>
      </c>
      <c r="H13" s="4">
        <f t="shared" si="1"/>
        <v>1.4594907407407376E-2</v>
      </c>
      <c r="I13" s="14"/>
      <c r="J13" s="18" t="s">
        <v>10</v>
      </c>
      <c r="K13" s="43"/>
      <c r="L13" s="43"/>
    </row>
    <row r="14" spans="1:18" ht="24" x14ac:dyDescent="0.25">
      <c r="A14" s="2" t="s">
        <v>44</v>
      </c>
      <c r="B14" s="3">
        <v>46127</v>
      </c>
      <c r="C14" s="6">
        <v>0.33901620370370372</v>
      </c>
      <c r="D14" s="6">
        <v>0.69263888888888892</v>
      </c>
      <c r="E14" s="4">
        <f t="shared" si="0"/>
        <v>0.35362268518518519</v>
      </c>
      <c r="F14" s="8">
        <v>0.35416666666666669</v>
      </c>
      <c r="G14" s="8">
        <v>0.33333333333333331</v>
      </c>
      <c r="H14" s="4">
        <f t="shared" si="1"/>
        <v>-5.439814814814925E-4</v>
      </c>
      <c r="I14" s="14"/>
      <c r="J14" s="18" t="s">
        <v>11</v>
      </c>
      <c r="K14" s="43"/>
      <c r="L14" s="43"/>
    </row>
    <row r="15" spans="1:18" ht="24" x14ac:dyDescent="0.25">
      <c r="A15" s="39" t="s">
        <v>44</v>
      </c>
      <c r="B15" s="22">
        <v>46128</v>
      </c>
      <c r="C15" s="5">
        <v>0.34208333333333335</v>
      </c>
      <c r="D15" s="5">
        <v>0.67951388888888886</v>
      </c>
      <c r="E15" s="4">
        <f>D15-C15</f>
        <v>0.33743055555555551</v>
      </c>
      <c r="F15" s="8">
        <v>0.33333333333333331</v>
      </c>
      <c r="G15" s="8">
        <v>0.33333333333333331</v>
      </c>
      <c r="H15" s="4">
        <f t="shared" si="1"/>
        <v>4.0972222222221966E-3</v>
      </c>
      <c r="I15" s="14"/>
      <c r="J15" s="18" t="s">
        <v>12</v>
      </c>
      <c r="K15" s="43"/>
      <c r="L15" s="43"/>
    </row>
    <row r="16" spans="1:18" ht="24" x14ac:dyDescent="0.25">
      <c r="A16" s="2" t="s">
        <v>44</v>
      </c>
      <c r="B16" s="3">
        <v>46129</v>
      </c>
      <c r="C16" s="6">
        <v>0.33305555555555555</v>
      </c>
      <c r="D16" s="6">
        <v>0.57254629629629628</v>
      </c>
      <c r="E16" s="4">
        <f t="shared" si="0"/>
        <v>0.23949074074074073</v>
      </c>
      <c r="F16" s="8">
        <v>0.22916666666666666</v>
      </c>
      <c r="G16" s="8">
        <v>0.33333333333333331</v>
      </c>
      <c r="H16" s="4">
        <f t="shared" si="1"/>
        <v>1.0324074074074069E-2</v>
      </c>
      <c r="I16" s="14"/>
      <c r="J16" s="23" t="s">
        <v>13</v>
      </c>
      <c r="K16" s="43"/>
      <c r="L16" s="43"/>
    </row>
    <row r="17" spans="1:12" ht="24" x14ac:dyDescent="0.25">
      <c r="A17" s="39" t="s">
        <v>44</v>
      </c>
      <c r="B17" s="22">
        <v>46132</v>
      </c>
      <c r="C17" s="5">
        <v>0.33379629629629631</v>
      </c>
      <c r="D17" s="5">
        <v>0.70070601851851855</v>
      </c>
      <c r="E17" s="4">
        <f t="shared" si="0"/>
        <v>0.36690972222222223</v>
      </c>
      <c r="F17" s="8">
        <v>0.41666666666666669</v>
      </c>
      <c r="G17" s="8">
        <v>0.33333333333333331</v>
      </c>
      <c r="H17" s="4">
        <f t="shared" si="1"/>
        <v>-4.9756944444444451E-2</v>
      </c>
      <c r="I17" s="14"/>
      <c r="J17" s="18" t="s">
        <v>38</v>
      </c>
      <c r="K17" s="43"/>
      <c r="L17" s="43"/>
    </row>
    <row r="18" spans="1:12" ht="24" x14ac:dyDescent="0.25">
      <c r="A18" s="2" t="s">
        <v>44</v>
      </c>
      <c r="B18" s="3">
        <v>46133</v>
      </c>
      <c r="C18" s="6">
        <v>0.3346527777777778</v>
      </c>
      <c r="D18" s="6">
        <v>0.61028935185185185</v>
      </c>
      <c r="E18" s="4">
        <f t="shared" si="0"/>
        <v>0.27563657407407405</v>
      </c>
      <c r="F18" s="8">
        <v>0.33333333333333331</v>
      </c>
      <c r="G18" s="8">
        <v>0.33333333333333331</v>
      </c>
      <c r="H18" s="4">
        <f t="shared" si="1"/>
        <v>-5.7696759259259267E-2</v>
      </c>
      <c r="I18" s="14"/>
      <c r="J18" s="18" t="s">
        <v>10</v>
      </c>
      <c r="K18" s="43"/>
      <c r="L18" s="43"/>
    </row>
    <row r="19" spans="1:12" ht="24" x14ac:dyDescent="0.25">
      <c r="A19" s="39" t="s">
        <v>44</v>
      </c>
      <c r="B19" s="22">
        <v>46134</v>
      </c>
      <c r="C19" s="5">
        <v>0.33106481481481481</v>
      </c>
      <c r="D19" s="5">
        <v>0.69572916666666662</v>
      </c>
      <c r="E19" s="4">
        <f t="shared" si="0"/>
        <v>0.36466435185185181</v>
      </c>
      <c r="F19" s="8">
        <v>0.35416666666666669</v>
      </c>
      <c r="G19" s="8">
        <v>0.33333333333333331</v>
      </c>
      <c r="H19" s="4">
        <f t="shared" si="1"/>
        <v>1.0497685185185124E-2</v>
      </c>
      <c r="I19" s="14"/>
      <c r="J19" s="18" t="s">
        <v>11</v>
      </c>
      <c r="K19" s="43"/>
      <c r="L19" s="43"/>
    </row>
    <row r="20" spans="1:12" ht="24" x14ac:dyDescent="0.25">
      <c r="A20" s="2" t="s">
        <v>44</v>
      </c>
      <c r="B20" s="3">
        <v>46135</v>
      </c>
      <c r="C20" s="5">
        <v>0.33333333333333331</v>
      </c>
      <c r="D20" s="5">
        <v>0.66666666666666663</v>
      </c>
      <c r="E20" s="4">
        <f>D20-C20</f>
        <v>0.33333333333333331</v>
      </c>
      <c r="F20" s="8">
        <v>0.33333333333333331</v>
      </c>
      <c r="G20" s="8">
        <v>0.33333333333333331</v>
      </c>
      <c r="H20" s="4">
        <f t="shared" si="1"/>
        <v>0</v>
      </c>
      <c r="I20" s="14"/>
      <c r="J20" s="18" t="s">
        <v>12</v>
      </c>
      <c r="K20" s="43"/>
      <c r="L20" s="43"/>
    </row>
    <row r="21" spans="1:12" ht="24" x14ac:dyDescent="0.25">
      <c r="A21" s="2" t="s">
        <v>44</v>
      </c>
      <c r="B21" s="22">
        <v>46136</v>
      </c>
      <c r="C21" s="6">
        <v>0.33333333333333331</v>
      </c>
      <c r="D21" s="6">
        <v>0.5625</v>
      </c>
      <c r="E21" s="4">
        <f>D21-C21</f>
        <v>0.22916666666666669</v>
      </c>
      <c r="F21" s="8">
        <v>0.22916666666666666</v>
      </c>
      <c r="G21" s="8">
        <v>0.33333333333333331</v>
      </c>
      <c r="H21" s="4">
        <f t="shared" si="1"/>
        <v>0</v>
      </c>
      <c r="I21" s="14"/>
      <c r="J21" s="23" t="s">
        <v>13</v>
      </c>
      <c r="L21" s="43"/>
    </row>
    <row r="22" spans="1:12" ht="24" x14ac:dyDescent="0.25">
      <c r="A22" s="2" t="s">
        <v>44</v>
      </c>
      <c r="B22" s="3">
        <v>46139</v>
      </c>
      <c r="C22" s="6">
        <v>0.33306712962962964</v>
      </c>
      <c r="D22" s="6">
        <v>0.75035879629629632</v>
      </c>
      <c r="E22" s="4">
        <f t="shared" ref="E22:E23" si="2">D22-C22</f>
        <v>0.41729166666666667</v>
      </c>
      <c r="F22" s="8">
        <v>0.41666666666666669</v>
      </c>
      <c r="G22" s="8">
        <v>0.33333333333333331</v>
      </c>
      <c r="H22" s="4">
        <f t="shared" si="1"/>
        <v>6.2499999999998668E-4</v>
      </c>
      <c r="I22" s="14"/>
      <c r="J22" s="18" t="s">
        <v>38</v>
      </c>
      <c r="K22" s="43"/>
      <c r="L22" s="43"/>
    </row>
    <row r="23" spans="1:12" ht="24" x14ac:dyDescent="0.25">
      <c r="A23" s="2" t="s">
        <v>44</v>
      </c>
      <c r="B23" s="22">
        <v>46140</v>
      </c>
      <c r="C23" s="5">
        <v>0.33373842592592595</v>
      </c>
      <c r="D23" s="5">
        <v>0.66901620370370374</v>
      </c>
      <c r="E23" s="4">
        <f t="shared" si="2"/>
        <v>0.33527777777777779</v>
      </c>
      <c r="F23" s="8">
        <v>0.33333333333333331</v>
      </c>
      <c r="G23" s="8">
        <v>0.33333333333333331</v>
      </c>
      <c r="H23" s="4">
        <f t="shared" si="1"/>
        <v>1.9444444444444708E-3</v>
      </c>
      <c r="I23" s="14"/>
      <c r="J23" s="18" t="s">
        <v>10</v>
      </c>
      <c r="K23" s="43"/>
      <c r="L23" s="43"/>
    </row>
    <row r="24" spans="1:12" ht="24" x14ac:dyDescent="0.25">
      <c r="A24" s="2" t="s">
        <v>44</v>
      </c>
      <c r="B24" s="3">
        <v>46141</v>
      </c>
      <c r="C24" s="6">
        <v>0.33453703703703702</v>
      </c>
      <c r="D24" s="6">
        <v>0.68763888888888891</v>
      </c>
      <c r="E24" s="4">
        <f>D24-C24</f>
        <v>0.35310185185185189</v>
      </c>
      <c r="F24" s="8">
        <v>0.35416666666666669</v>
      </c>
      <c r="G24" s="8">
        <v>0.33333333333333331</v>
      </c>
      <c r="H24" s="4">
        <f>E24-F24</f>
        <v>-1.0648148148147962E-3</v>
      </c>
      <c r="I24" s="14"/>
      <c r="J24" s="18" t="s">
        <v>11</v>
      </c>
      <c r="K24" s="43"/>
      <c r="L24" s="43"/>
    </row>
    <row r="25" spans="1:12" ht="24" x14ac:dyDescent="0.25">
      <c r="A25" s="2" t="s">
        <v>44</v>
      </c>
      <c r="B25" s="22">
        <v>46142</v>
      </c>
      <c r="C25" s="5">
        <v>0.33737268518518521</v>
      </c>
      <c r="D25" s="5">
        <v>0.66910879629629627</v>
      </c>
      <c r="E25" s="4">
        <f t="shared" ref="E25" si="3">D25-C25</f>
        <v>0.33173611111111106</v>
      </c>
      <c r="F25" s="8">
        <v>0.33333333333333331</v>
      </c>
      <c r="G25" s="8">
        <v>0.33333333333333331</v>
      </c>
      <c r="H25" s="4">
        <f>E25-F25</f>
        <v>-1.5972222222222499E-3</v>
      </c>
      <c r="I25" s="14"/>
      <c r="J25" s="18" t="s">
        <v>12</v>
      </c>
      <c r="K25" s="43"/>
      <c r="L25" s="43"/>
    </row>
    <row r="26" spans="1:12" ht="24" x14ac:dyDescent="0.25">
      <c r="A26" s="2" t="s">
        <v>44</v>
      </c>
      <c r="B26" s="10"/>
      <c r="C26" s="11"/>
      <c r="D26" s="11"/>
      <c r="E26" s="12">
        <f>SUM(E4:E25)</f>
        <v>6.548784722222222</v>
      </c>
      <c r="F26" s="12">
        <f>SUM(F4:F25)</f>
        <v>6.708333333333333</v>
      </c>
      <c r="G26" s="12">
        <f>SUM(G4:G25)</f>
        <v>6.6666666666666643</v>
      </c>
      <c r="H26" s="12">
        <f>SUM(H4:H25)</f>
        <v>-0.15954861111111129</v>
      </c>
      <c r="I26" s="4"/>
      <c r="J26" s="23"/>
      <c r="L26" s="44"/>
    </row>
    <row r="27" spans="1:12" ht="24" x14ac:dyDescent="0.25">
      <c r="A27" s="27" t="s">
        <v>29</v>
      </c>
      <c r="H27" s="46">
        <f>H26+'2026. 03.'!H27</f>
        <v>8.4456018518518805E-2</v>
      </c>
      <c r="K27" s="4"/>
    </row>
  </sheetData>
  <mergeCells count="3">
    <mergeCell ref="A1:D1"/>
    <mergeCell ref="E1:H2"/>
    <mergeCell ref="A2:D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4B26D-C980-4377-B85B-A6A37416EBA8}">
  <dimension ref="A1:R26"/>
  <sheetViews>
    <sheetView topLeftCell="A7" workbookViewId="0">
      <selection activeCell="H26" sqref="H26"/>
    </sheetView>
  </sheetViews>
  <sheetFormatPr defaultRowHeight="15" x14ac:dyDescent="0.25"/>
  <cols>
    <col min="2" max="4" width="11.140625" customWidth="1"/>
    <col min="11" max="11" width="11.42578125" customWidth="1"/>
  </cols>
  <sheetData>
    <row r="1" spans="1:18" s="13" customFormat="1" ht="46.5" customHeight="1" x14ac:dyDescent="0.25">
      <c r="A1" s="50" t="s">
        <v>0</v>
      </c>
      <c r="B1" s="50"/>
      <c r="C1" s="50"/>
      <c r="D1" s="50"/>
      <c r="E1" s="51" t="s">
        <v>7</v>
      </c>
      <c r="F1" s="51"/>
      <c r="G1" s="51"/>
      <c r="H1" s="51"/>
      <c r="I1" s="16"/>
      <c r="J1" s="16"/>
      <c r="M1"/>
      <c r="N1" s="13" t="s">
        <v>20</v>
      </c>
      <c r="O1" s="13" t="s">
        <v>21</v>
      </c>
      <c r="P1" s="13" t="s">
        <v>22</v>
      </c>
      <c r="Q1" s="13" t="s">
        <v>35</v>
      </c>
      <c r="R1" s="13" t="s">
        <v>36</v>
      </c>
    </row>
    <row r="2" spans="1:18" ht="38.25" customHeight="1" x14ac:dyDescent="0.25">
      <c r="A2" s="52" t="s">
        <v>42</v>
      </c>
      <c r="B2" s="52"/>
      <c r="C2" s="52"/>
      <c r="D2" s="52"/>
      <c r="E2" s="51"/>
      <c r="F2" s="51"/>
      <c r="G2" s="51"/>
      <c r="H2" s="51"/>
      <c r="I2" s="16"/>
      <c r="J2" s="16"/>
      <c r="K2" s="14"/>
      <c r="L2" s="14"/>
      <c r="N2" s="14" t="s">
        <v>38</v>
      </c>
      <c r="O2" s="15">
        <v>0.41666666666666669</v>
      </c>
      <c r="P2" t="s">
        <v>16</v>
      </c>
      <c r="Q2" s="15">
        <v>0.375</v>
      </c>
      <c r="R2" t="s">
        <v>39</v>
      </c>
    </row>
    <row r="3" spans="1:18" ht="57" x14ac:dyDescent="0.25">
      <c r="A3" s="1" t="s">
        <v>1</v>
      </c>
      <c r="B3" s="1" t="s">
        <v>2</v>
      </c>
      <c r="C3" s="1" t="s">
        <v>3</v>
      </c>
      <c r="D3" s="1" t="s">
        <v>4</v>
      </c>
      <c r="E3" s="7" t="s">
        <v>5</v>
      </c>
      <c r="F3" s="7" t="s">
        <v>8</v>
      </c>
      <c r="G3" s="7" t="s">
        <v>14</v>
      </c>
      <c r="H3" s="7" t="s">
        <v>23</v>
      </c>
      <c r="I3" s="17"/>
      <c r="J3" s="19" t="s">
        <v>24</v>
      </c>
      <c r="K3" s="20" t="s">
        <v>25</v>
      </c>
      <c r="L3" s="21" t="s">
        <v>26</v>
      </c>
      <c r="N3" s="14" t="s">
        <v>10</v>
      </c>
      <c r="O3" s="15">
        <v>0.33333333333333331</v>
      </c>
      <c r="P3" t="s">
        <v>17</v>
      </c>
      <c r="Q3" s="15">
        <v>0.35416666666666669</v>
      </c>
      <c r="R3" t="s">
        <v>18</v>
      </c>
    </row>
    <row r="4" spans="1:18" ht="24" x14ac:dyDescent="0.25">
      <c r="A4" s="2" t="s">
        <v>44</v>
      </c>
      <c r="B4" s="3">
        <v>46143</v>
      </c>
      <c r="C4" s="5"/>
      <c r="D4" s="5"/>
      <c r="E4" s="4">
        <f>D4-C4</f>
        <v>0</v>
      </c>
      <c r="F4" s="8">
        <v>0</v>
      </c>
      <c r="G4" s="8">
        <v>0</v>
      </c>
      <c r="H4" s="4">
        <f>E4-F4</f>
        <v>0</v>
      </c>
      <c r="I4" s="14"/>
      <c r="J4" s="23" t="s">
        <v>13</v>
      </c>
      <c r="K4" s="42"/>
      <c r="L4" s="43" t="s">
        <v>45</v>
      </c>
      <c r="N4" s="14" t="s">
        <v>11</v>
      </c>
      <c r="O4" s="15">
        <v>0.35416666666666669</v>
      </c>
      <c r="P4" t="s">
        <v>18</v>
      </c>
      <c r="Q4" s="15">
        <v>0.35416666666666669</v>
      </c>
      <c r="R4" t="s">
        <v>18</v>
      </c>
    </row>
    <row r="5" spans="1:18" ht="24" x14ac:dyDescent="0.25">
      <c r="A5" s="39" t="s">
        <v>44</v>
      </c>
      <c r="B5" s="22">
        <v>46146</v>
      </c>
      <c r="C5" s="6">
        <v>0.33333333333333331</v>
      </c>
      <c r="D5" s="6">
        <v>0.75</v>
      </c>
      <c r="E5" s="4">
        <f t="shared" ref="E5:E23" si="0">D5-C5</f>
        <v>0.41666666666666669</v>
      </c>
      <c r="F5" s="8">
        <v>0.41666666666666669</v>
      </c>
      <c r="G5" s="8">
        <v>0.33333333333333331</v>
      </c>
      <c r="H5" s="4">
        <f t="shared" ref="H5:H23" si="1">E5-F5</f>
        <v>0</v>
      </c>
      <c r="I5" s="14"/>
      <c r="J5" s="18" t="s">
        <v>38</v>
      </c>
      <c r="K5" s="47" t="s">
        <v>46</v>
      </c>
      <c r="N5" s="14" t="s">
        <v>12</v>
      </c>
      <c r="O5" s="15">
        <v>0.33333333333333331</v>
      </c>
      <c r="P5" s="8" t="s">
        <v>17</v>
      </c>
      <c r="Q5" s="15">
        <v>0.35416666666666669</v>
      </c>
      <c r="R5" s="8" t="s">
        <v>18</v>
      </c>
    </row>
    <row r="6" spans="1:18" ht="24" x14ac:dyDescent="0.25">
      <c r="A6" s="2" t="s">
        <v>44</v>
      </c>
      <c r="B6" s="3">
        <v>46147</v>
      </c>
      <c r="C6" s="5">
        <v>0.33729166666666666</v>
      </c>
      <c r="D6" s="5">
        <v>0.66825231481481484</v>
      </c>
      <c r="E6" s="4">
        <f t="shared" si="0"/>
        <v>0.33096064814814818</v>
      </c>
      <c r="F6" s="8">
        <v>0.33333333333333331</v>
      </c>
      <c r="G6" s="8">
        <v>0.33333333333333331</v>
      </c>
      <c r="H6" s="4">
        <f t="shared" si="1"/>
        <v>-2.3726851851851305E-3</v>
      </c>
      <c r="I6" s="14"/>
      <c r="J6" s="18" t="s">
        <v>10</v>
      </c>
      <c r="K6" s="43"/>
      <c r="L6" s="43"/>
      <c r="N6" s="14" t="s">
        <v>13</v>
      </c>
      <c r="O6" s="15">
        <v>0.22916666666666666</v>
      </c>
      <c r="P6" t="s">
        <v>19</v>
      </c>
      <c r="Q6" s="15">
        <v>0.22916666666666666</v>
      </c>
      <c r="R6" t="s">
        <v>19</v>
      </c>
    </row>
    <row r="7" spans="1:18" ht="24" x14ac:dyDescent="0.25">
      <c r="A7" s="39" t="s">
        <v>44</v>
      </c>
      <c r="B7" s="22">
        <v>46148</v>
      </c>
      <c r="C7" s="6">
        <v>0.33520833333333333</v>
      </c>
      <c r="D7" s="6">
        <v>0.71091435185185181</v>
      </c>
      <c r="E7" s="4">
        <f t="shared" si="0"/>
        <v>0.37570601851851848</v>
      </c>
      <c r="F7" s="8">
        <v>0.35416666666666669</v>
      </c>
      <c r="G7" s="8">
        <v>0.33333333333333331</v>
      </c>
      <c r="H7" s="4">
        <f t="shared" si="1"/>
        <v>2.1539351851851796E-2</v>
      </c>
      <c r="I7" s="14"/>
      <c r="J7" s="18" t="s">
        <v>11</v>
      </c>
      <c r="K7" s="43"/>
      <c r="L7" s="43"/>
    </row>
    <row r="8" spans="1:18" ht="24" x14ac:dyDescent="0.25">
      <c r="A8" s="2" t="s">
        <v>44</v>
      </c>
      <c r="B8" s="3">
        <v>46149</v>
      </c>
      <c r="C8" s="5">
        <v>0.37554398148148149</v>
      </c>
      <c r="D8" s="5">
        <v>0.69037037037037041</v>
      </c>
      <c r="E8" s="4">
        <f t="shared" si="0"/>
        <v>0.31482638888888892</v>
      </c>
      <c r="F8" s="8">
        <v>0.33333333333333331</v>
      </c>
      <c r="G8" s="8">
        <v>0.33333333333333331</v>
      </c>
      <c r="H8" s="4">
        <f t="shared" si="1"/>
        <v>-1.8506944444444395E-2</v>
      </c>
      <c r="I8" s="14"/>
      <c r="J8" s="18" t="s">
        <v>12</v>
      </c>
      <c r="K8" s="43"/>
      <c r="L8" s="43"/>
    </row>
    <row r="9" spans="1:18" ht="24" x14ac:dyDescent="0.25">
      <c r="A9" s="39" t="s">
        <v>44</v>
      </c>
      <c r="B9" s="22">
        <v>46150</v>
      </c>
      <c r="C9" s="6">
        <v>0.33386574074074077</v>
      </c>
      <c r="D9" s="6">
        <v>0.56428240740740743</v>
      </c>
      <c r="E9" s="4">
        <f t="shared" si="0"/>
        <v>0.23041666666666666</v>
      </c>
      <c r="F9" s="8">
        <v>0.22916666666666666</v>
      </c>
      <c r="G9" s="8">
        <v>0.33333333333333331</v>
      </c>
      <c r="H9" s="4">
        <f t="shared" si="1"/>
        <v>1.2500000000000011E-3</v>
      </c>
      <c r="I9" s="14"/>
      <c r="J9" s="23" t="s">
        <v>13</v>
      </c>
      <c r="K9" s="43"/>
      <c r="L9" s="43"/>
    </row>
    <row r="10" spans="1:18" ht="24" x14ac:dyDescent="0.25">
      <c r="A10" s="2" t="s">
        <v>44</v>
      </c>
      <c r="B10" s="3">
        <v>46153</v>
      </c>
      <c r="C10" s="5">
        <v>0.33504629629629629</v>
      </c>
      <c r="D10" s="5">
        <v>0.75001157407407404</v>
      </c>
      <c r="E10" s="4">
        <f t="shared" si="0"/>
        <v>0.41496527777777775</v>
      </c>
      <c r="F10" s="8">
        <v>0.41666666666666669</v>
      </c>
      <c r="G10" s="8">
        <v>0.33333333333333331</v>
      </c>
      <c r="H10" s="4">
        <f t="shared" si="1"/>
        <v>-1.7013888888889328E-3</v>
      </c>
      <c r="I10" s="14"/>
      <c r="J10" s="18" t="s">
        <v>38</v>
      </c>
      <c r="K10" s="43"/>
      <c r="L10" s="43"/>
    </row>
    <row r="11" spans="1:18" ht="24" x14ac:dyDescent="0.25">
      <c r="A11" s="39" t="s">
        <v>44</v>
      </c>
      <c r="B11" s="22">
        <v>46154</v>
      </c>
      <c r="C11" s="6">
        <v>0.32483796296296297</v>
      </c>
      <c r="D11" s="6">
        <v>0.66674768518518523</v>
      </c>
      <c r="E11" s="4">
        <f t="shared" si="0"/>
        <v>0.34190972222222227</v>
      </c>
      <c r="F11" s="8">
        <v>0.33333333333333331</v>
      </c>
      <c r="G11" s="8">
        <v>0.33333333333333331</v>
      </c>
      <c r="H11" s="4">
        <f t="shared" si="1"/>
        <v>8.5763888888889528E-3</v>
      </c>
      <c r="I11" s="14"/>
      <c r="J11" s="18" t="s">
        <v>10</v>
      </c>
      <c r="K11" s="43"/>
      <c r="L11" s="43"/>
    </row>
    <row r="12" spans="1:18" ht="24" x14ac:dyDescent="0.25">
      <c r="A12" s="2" t="s">
        <v>44</v>
      </c>
      <c r="B12" s="3">
        <v>46155</v>
      </c>
      <c r="C12" s="5">
        <v>0.30959490740740742</v>
      </c>
      <c r="D12" s="5">
        <v>0.69447916666666665</v>
      </c>
      <c r="E12" s="4">
        <f t="shared" si="0"/>
        <v>0.38488425925925923</v>
      </c>
      <c r="F12" s="8">
        <v>0.35416666666666669</v>
      </c>
      <c r="G12" s="8">
        <v>0.33333333333333331</v>
      </c>
      <c r="H12" s="4">
        <f t="shared" si="1"/>
        <v>3.0717592592592546E-2</v>
      </c>
      <c r="I12" s="14"/>
      <c r="J12" s="18" t="s">
        <v>11</v>
      </c>
      <c r="K12" s="43"/>
    </row>
    <row r="13" spans="1:18" ht="24" x14ac:dyDescent="0.25">
      <c r="A13" s="39" t="s">
        <v>44</v>
      </c>
      <c r="B13" s="22">
        <v>46156</v>
      </c>
      <c r="C13" s="6">
        <v>0.3351736111111111</v>
      </c>
      <c r="D13" s="6">
        <v>0.67261574074074071</v>
      </c>
      <c r="E13" s="4">
        <f t="shared" si="0"/>
        <v>0.33744212962962961</v>
      </c>
      <c r="F13" s="8">
        <v>0.33333333333333331</v>
      </c>
      <c r="G13" s="8">
        <v>0.33333333333333331</v>
      </c>
      <c r="H13" s="4">
        <f t="shared" si="1"/>
        <v>4.108796296296291E-3</v>
      </c>
      <c r="I13" s="14"/>
      <c r="J13" s="18" t="s">
        <v>12</v>
      </c>
      <c r="K13" s="43"/>
      <c r="L13" s="43"/>
    </row>
    <row r="14" spans="1:18" ht="24" x14ac:dyDescent="0.25">
      <c r="A14" s="2" t="s">
        <v>44</v>
      </c>
      <c r="B14" s="3">
        <v>46157</v>
      </c>
      <c r="C14" s="5">
        <v>0.33300925925925928</v>
      </c>
      <c r="D14" s="5">
        <v>0.50203703703703706</v>
      </c>
      <c r="E14" s="4">
        <f t="shared" si="0"/>
        <v>0.16902777777777778</v>
      </c>
      <c r="F14" s="8">
        <v>0.22916666666666666</v>
      </c>
      <c r="G14" s="8">
        <v>0.33333333333333331</v>
      </c>
      <c r="H14" s="4">
        <f t="shared" si="1"/>
        <v>-6.0138888888888881E-2</v>
      </c>
      <c r="I14" s="14"/>
      <c r="J14" s="23" t="s">
        <v>13</v>
      </c>
      <c r="K14" s="43"/>
      <c r="L14" s="43"/>
    </row>
    <row r="15" spans="1:18" ht="24" x14ac:dyDescent="0.25">
      <c r="A15" s="39" t="s">
        <v>44</v>
      </c>
      <c r="B15" s="22">
        <v>46160</v>
      </c>
      <c r="C15" s="6">
        <v>0.33250000000000002</v>
      </c>
      <c r="D15" s="6">
        <v>0.75305555555555559</v>
      </c>
      <c r="E15" s="4">
        <f>D15-C15</f>
        <v>0.42055555555555557</v>
      </c>
      <c r="F15" s="8">
        <v>0.41666666666666669</v>
      </c>
      <c r="G15" s="8">
        <v>0.33333333333333331</v>
      </c>
      <c r="H15" s="4">
        <f t="shared" si="1"/>
        <v>3.8888888888888862E-3</v>
      </c>
      <c r="I15" s="14"/>
      <c r="J15" s="18" t="s">
        <v>38</v>
      </c>
      <c r="K15" s="43"/>
      <c r="L15" s="43"/>
    </row>
    <row r="16" spans="1:18" ht="24" x14ac:dyDescent="0.25">
      <c r="A16" s="2" t="s">
        <v>44</v>
      </c>
      <c r="B16" s="3">
        <v>46161</v>
      </c>
      <c r="C16" s="5">
        <v>0.33788194444444447</v>
      </c>
      <c r="D16" s="5">
        <v>0.67910879629629628</v>
      </c>
      <c r="E16" s="4">
        <f t="shared" si="0"/>
        <v>0.34122685185185181</v>
      </c>
      <c r="F16" s="8">
        <v>0.33333333333333331</v>
      </c>
      <c r="G16" s="8">
        <v>0.33333333333333331</v>
      </c>
      <c r="H16" s="4">
        <f t="shared" si="1"/>
        <v>7.8935185185184942E-3</v>
      </c>
      <c r="I16" s="14"/>
      <c r="J16" s="18" t="s">
        <v>10</v>
      </c>
      <c r="K16" s="43"/>
      <c r="L16" s="43"/>
    </row>
    <row r="17" spans="1:12" ht="24" x14ac:dyDescent="0.25">
      <c r="A17" s="39" t="s">
        <v>44</v>
      </c>
      <c r="B17" s="22">
        <v>46162</v>
      </c>
      <c r="C17" s="6">
        <v>0.32815972222222223</v>
      </c>
      <c r="D17" s="6">
        <v>0.69260416666666669</v>
      </c>
      <c r="E17" s="4">
        <f t="shared" si="0"/>
        <v>0.36444444444444446</v>
      </c>
      <c r="F17" s="8">
        <v>0.35416666666666669</v>
      </c>
      <c r="G17" s="8">
        <v>0.33333333333333331</v>
      </c>
      <c r="H17" s="4">
        <f t="shared" si="1"/>
        <v>1.0277777777777775E-2</v>
      </c>
      <c r="I17" s="14"/>
      <c r="J17" s="18" t="s">
        <v>11</v>
      </c>
      <c r="K17" s="43"/>
      <c r="L17" s="43"/>
    </row>
    <row r="18" spans="1:12" ht="24" x14ac:dyDescent="0.25">
      <c r="A18" s="2" t="s">
        <v>44</v>
      </c>
      <c r="B18" s="3">
        <v>46163</v>
      </c>
      <c r="C18" s="5">
        <v>0.33510416666666665</v>
      </c>
      <c r="D18" s="5">
        <v>0.67366898148148147</v>
      </c>
      <c r="E18" s="4">
        <f t="shared" si="0"/>
        <v>0.33856481481481482</v>
      </c>
      <c r="F18" s="8">
        <v>0.33333333333333331</v>
      </c>
      <c r="G18" s="8">
        <v>0.33333333333333331</v>
      </c>
      <c r="H18" s="4">
        <f t="shared" si="1"/>
        <v>5.2314814814815036E-3</v>
      </c>
      <c r="I18" s="14"/>
      <c r="J18" s="18" t="s">
        <v>12</v>
      </c>
      <c r="K18" s="43"/>
      <c r="L18" s="43"/>
    </row>
    <row r="19" spans="1:12" ht="24" x14ac:dyDescent="0.25">
      <c r="A19" s="39" t="s">
        <v>44</v>
      </c>
      <c r="B19" s="22">
        <v>46164</v>
      </c>
      <c r="C19" s="6">
        <v>0.33725694444444443</v>
      </c>
      <c r="D19" s="6">
        <v>0.57186342592592587</v>
      </c>
      <c r="E19" s="4">
        <f t="shared" si="0"/>
        <v>0.23460648148148144</v>
      </c>
      <c r="F19" s="8">
        <v>0.22916666666666666</v>
      </c>
      <c r="G19" s="8">
        <v>0.33333333333333331</v>
      </c>
      <c r="H19" s="4">
        <f t="shared" si="1"/>
        <v>5.4398148148147862E-3</v>
      </c>
      <c r="I19" s="14"/>
      <c r="J19" s="23" t="s">
        <v>13</v>
      </c>
      <c r="K19" s="43"/>
      <c r="L19" s="43"/>
    </row>
    <row r="20" spans="1:12" ht="24" x14ac:dyDescent="0.25">
      <c r="A20" s="2" t="s">
        <v>44</v>
      </c>
      <c r="B20" s="3">
        <v>46167</v>
      </c>
      <c r="C20" s="6"/>
      <c r="D20" s="6"/>
      <c r="E20" s="4"/>
      <c r="F20" s="8"/>
      <c r="G20" s="8"/>
      <c r="H20" s="4">
        <f t="shared" si="1"/>
        <v>0</v>
      </c>
      <c r="I20" s="14"/>
      <c r="J20" s="18" t="s">
        <v>38</v>
      </c>
      <c r="K20" s="48" t="s">
        <v>50</v>
      </c>
      <c r="L20" s="43"/>
    </row>
    <row r="21" spans="1:12" ht="24" x14ac:dyDescent="0.25">
      <c r="A21" s="39" t="s">
        <v>44</v>
      </c>
      <c r="B21" s="22">
        <v>46168</v>
      </c>
      <c r="C21" s="5">
        <v>0.3054513888888889</v>
      </c>
      <c r="D21" s="5">
        <v>0.62788194444444445</v>
      </c>
      <c r="E21" s="4">
        <f>D21-C21</f>
        <v>0.32243055555555555</v>
      </c>
      <c r="F21" s="8">
        <v>0.33333333333333331</v>
      </c>
      <c r="G21" s="8">
        <v>0.33333333333333331</v>
      </c>
      <c r="H21" s="4">
        <f t="shared" si="1"/>
        <v>-1.0902777777777761E-2</v>
      </c>
      <c r="I21" s="14"/>
      <c r="J21" s="18" t="s">
        <v>10</v>
      </c>
      <c r="L21" s="43"/>
    </row>
    <row r="22" spans="1:12" ht="24" x14ac:dyDescent="0.25">
      <c r="A22" s="2" t="s">
        <v>44</v>
      </c>
      <c r="B22" s="3">
        <v>46169</v>
      </c>
      <c r="C22" s="5">
        <v>0.31221064814814814</v>
      </c>
      <c r="D22" s="5">
        <v>0.62812500000000004</v>
      </c>
      <c r="E22" s="4">
        <f t="shared" si="0"/>
        <v>0.3159143518518519</v>
      </c>
      <c r="F22" s="8">
        <v>0.35416666666666669</v>
      </c>
      <c r="G22" s="8">
        <v>0.33333333333333331</v>
      </c>
      <c r="H22" s="4">
        <f t="shared" si="1"/>
        <v>-3.8252314814814781E-2</v>
      </c>
      <c r="I22" s="14"/>
      <c r="J22" s="18" t="s">
        <v>11</v>
      </c>
      <c r="K22" s="43"/>
      <c r="L22" s="43"/>
    </row>
    <row r="23" spans="1:12" ht="24" x14ac:dyDescent="0.25">
      <c r="A23" s="39" t="s">
        <v>44</v>
      </c>
      <c r="B23" s="22">
        <v>46170</v>
      </c>
      <c r="C23" s="6">
        <v>0.33333333333333331</v>
      </c>
      <c r="D23" s="6">
        <v>0.66666666666666663</v>
      </c>
      <c r="E23" s="4">
        <f t="shared" si="0"/>
        <v>0.33333333333333331</v>
      </c>
      <c r="F23" s="8">
        <v>0.33333333333333331</v>
      </c>
      <c r="G23" s="8">
        <v>0.33333333333333331</v>
      </c>
      <c r="H23" s="4">
        <f t="shared" si="1"/>
        <v>0</v>
      </c>
      <c r="I23" s="14"/>
      <c r="J23" s="18" t="s">
        <v>12</v>
      </c>
      <c r="K23" s="43"/>
      <c r="L23" s="43"/>
    </row>
    <row r="24" spans="1:12" ht="24" x14ac:dyDescent="0.25">
      <c r="A24" s="2" t="s">
        <v>44</v>
      </c>
      <c r="B24" s="3">
        <v>46171</v>
      </c>
      <c r="C24" s="5">
        <v>0.33333333333333331</v>
      </c>
      <c r="D24" s="5">
        <v>0.5625</v>
      </c>
      <c r="E24" s="4">
        <f>D24-C24</f>
        <v>0.22916666666666669</v>
      </c>
      <c r="F24" s="8">
        <v>0.22916666666666666</v>
      </c>
      <c r="G24" s="8">
        <v>0.33333333333333331</v>
      </c>
      <c r="H24" s="4">
        <f>E24-F24</f>
        <v>0</v>
      </c>
      <c r="I24" s="14"/>
      <c r="J24" s="23" t="s">
        <v>13</v>
      </c>
      <c r="K24" s="48" t="s">
        <v>46</v>
      </c>
      <c r="L24" s="43"/>
    </row>
    <row r="25" spans="1:12" x14ac:dyDescent="0.25">
      <c r="A25" s="9" t="s">
        <v>6</v>
      </c>
      <c r="B25" s="10"/>
      <c r="C25" s="11"/>
      <c r="D25" s="11"/>
      <c r="E25" s="12">
        <f>SUM(E4:E24)</f>
        <v>6.2170486111111121</v>
      </c>
      <c r="F25" s="12">
        <f>SUM(F4:F24)</f>
        <v>6.25</v>
      </c>
      <c r="G25" s="12">
        <f>SUM(G4:G24)</f>
        <v>6.3333333333333313</v>
      </c>
      <c r="H25" s="12">
        <f>SUM(H4:H24)</f>
        <v>-3.295138888888885E-2</v>
      </c>
      <c r="I25" s="4"/>
      <c r="J25" s="23"/>
      <c r="L25" s="44"/>
    </row>
    <row r="26" spans="1:12" ht="24" x14ac:dyDescent="0.25">
      <c r="A26" s="27" t="s">
        <v>29</v>
      </c>
      <c r="H26" s="46">
        <f>H25+'2026. 04.'!H27</f>
        <v>5.1504629629629956E-2</v>
      </c>
      <c r="K26" s="4"/>
    </row>
  </sheetData>
  <mergeCells count="3">
    <mergeCell ref="A1:D1"/>
    <mergeCell ref="E1:H2"/>
    <mergeCell ref="A2:D2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A7436-552A-40BD-9065-966D3C1CBF75}">
  <dimension ref="A1:R27"/>
  <sheetViews>
    <sheetView topLeftCell="A16" workbookViewId="0">
      <selection activeCell="H27" sqref="H27"/>
    </sheetView>
  </sheetViews>
  <sheetFormatPr defaultRowHeight="15" x14ac:dyDescent="0.25"/>
  <cols>
    <col min="1" max="1" width="8.7109375" bestFit="1" customWidth="1"/>
    <col min="2" max="2" width="10.140625" bestFit="1" customWidth="1"/>
    <col min="3" max="3" width="8.7109375" bestFit="1" customWidth="1"/>
    <col min="4" max="4" width="8.5703125" bestFit="1" customWidth="1"/>
    <col min="5" max="8" width="11" customWidth="1"/>
  </cols>
  <sheetData>
    <row r="1" spans="1:18" s="13" customFormat="1" ht="46.5" customHeight="1" x14ac:dyDescent="0.25">
      <c r="A1" s="50" t="s">
        <v>0</v>
      </c>
      <c r="B1" s="50"/>
      <c r="C1" s="50"/>
      <c r="D1" s="50"/>
      <c r="E1" s="51" t="s">
        <v>7</v>
      </c>
      <c r="F1" s="51"/>
      <c r="G1" s="51"/>
      <c r="H1" s="51"/>
      <c r="I1" s="16"/>
      <c r="J1" s="16"/>
      <c r="M1"/>
      <c r="N1" s="13" t="s">
        <v>20</v>
      </c>
      <c r="O1" s="13" t="s">
        <v>21</v>
      </c>
      <c r="P1" s="13" t="s">
        <v>22</v>
      </c>
      <c r="Q1" s="13" t="s">
        <v>35</v>
      </c>
      <c r="R1" s="13" t="s">
        <v>36</v>
      </c>
    </row>
    <row r="2" spans="1:18" ht="38.25" customHeight="1" x14ac:dyDescent="0.25">
      <c r="A2" s="52" t="s">
        <v>47</v>
      </c>
      <c r="B2" s="52"/>
      <c r="C2" s="52"/>
      <c r="D2" s="52"/>
      <c r="E2" s="51"/>
      <c r="F2" s="51"/>
      <c r="G2" s="51"/>
      <c r="H2" s="51"/>
      <c r="I2" s="16"/>
      <c r="J2" s="16"/>
      <c r="K2" s="14"/>
      <c r="L2" s="14"/>
      <c r="N2" s="14" t="s">
        <v>38</v>
      </c>
      <c r="O2" s="15">
        <v>0.41666666666666669</v>
      </c>
      <c r="P2" t="s">
        <v>16</v>
      </c>
      <c r="Q2" s="15">
        <v>0.375</v>
      </c>
      <c r="R2" t="s">
        <v>39</v>
      </c>
    </row>
    <row r="3" spans="1:18" ht="45" x14ac:dyDescent="0.25">
      <c r="A3" s="1" t="s">
        <v>1</v>
      </c>
      <c r="B3" s="1" t="s">
        <v>2</v>
      </c>
      <c r="C3" s="1" t="s">
        <v>3</v>
      </c>
      <c r="D3" s="1" t="s">
        <v>4</v>
      </c>
      <c r="E3" s="7" t="s">
        <v>5</v>
      </c>
      <c r="F3" s="7" t="s">
        <v>8</v>
      </c>
      <c r="G3" s="7" t="s">
        <v>14</v>
      </c>
      <c r="H3" s="7" t="s">
        <v>23</v>
      </c>
      <c r="I3" s="17"/>
      <c r="J3" s="19" t="s">
        <v>24</v>
      </c>
      <c r="K3" s="20" t="s">
        <v>25</v>
      </c>
      <c r="L3" s="21" t="s">
        <v>26</v>
      </c>
      <c r="N3" s="14" t="s">
        <v>10</v>
      </c>
      <c r="O3" s="15">
        <v>0.33333333333333331</v>
      </c>
      <c r="P3" t="s">
        <v>17</v>
      </c>
      <c r="Q3" s="15">
        <v>0.35416666666666669</v>
      </c>
      <c r="R3" t="s">
        <v>18</v>
      </c>
    </row>
    <row r="4" spans="1:18" ht="24" x14ac:dyDescent="0.25">
      <c r="A4" s="2" t="s">
        <v>44</v>
      </c>
      <c r="B4" s="3">
        <v>46174</v>
      </c>
      <c r="C4" s="5">
        <v>0.33333333333333331</v>
      </c>
      <c r="D4" s="5">
        <v>0.75</v>
      </c>
      <c r="E4" s="4">
        <f>D4-C4</f>
        <v>0.41666666666666669</v>
      </c>
      <c r="F4" s="8">
        <v>0.41666666666666669</v>
      </c>
      <c r="G4" s="8">
        <v>0.33333333333333331</v>
      </c>
      <c r="H4" s="4">
        <f>E4-F4</f>
        <v>0</v>
      </c>
      <c r="I4" s="14"/>
      <c r="J4" s="23" t="s">
        <v>38</v>
      </c>
      <c r="K4" s="42"/>
      <c r="L4" s="48" t="s">
        <v>49</v>
      </c>
      <c r="N4" s="14" t="s">
        <v>11</v>
      </c>
      <c r="O4" s="15">
        <v>0.35416666666666669</v>
      </c>
      <c r="P4" t="s">
        <v>18</v>
      </c>
      <c r="Q4" s="15">
        <v>0.35416666666666669</v>
      </c>
      <c r="R4" t="s">
        <v>18</v>
      </c>
    </row>
    <row r="5" spans="1:18" ht="24" x14ac:dyDescent="0.25">
      <c r="A5" s="39" t="s">
        <v>44</v>
      </c>
      <c r="B5" s="22">
        <v>46175</v>
      </c>
      <c r="C5" s="6">
        <v>0.32907407407407407</v>
      </c>
      <c r="D5" s="6">
        <v>0.67334490740740738</v>
      </c>
      <c r="E5" s="4">
        <f t="shared" ref="E5:E24" si="0">D5-C5</f>
        <v>0.3442708333333333</v>
      </c>
      <c r="F5" s="8">
        <v>0.33333333333333331</v>
      </c>
      <c r="G5" s="8">
        <v>0.33333333333333331</v>
      </c>
      <c r="H5" s="4">
        <f t="shared" ref="H5:H25" si="1">E5-F5</f>
        <v>1.0937499999999989E-2</v>
      </c>
      <c r="I5" s="14"/>
      <c r="J5" s="18" t="s">
        <v>10</v>
      </c>
      <c r="K5" s="47"/>
      <c r="N5" s="14" t="s">
        <v>12</v>
      </c>
      <c r="O5" s="15">
        <v>0.33333333333333331</v>
      </c>
      <c r="P5" s="8" t="s">
        <v>17</v>
      </c>
      <c r="Q5" s="15">
        <v>0.35416666666666669</v>
      </c>
      <c r="R5" s="8" t="s">
        <v>18</v>
      </c>
    </row>
    <row r="6" spans="1:18" ht="24" x14ac:dyDescent="0.25">
      <c r="A6" s="2" t="s">
        <v>44</v>
      </c>
      <c r="B6" s="3">
        <v>46176</v>
      </c>
      <c r="C6" s="5">
        <v>0.32983796296296297</v>
      </c>
      <c r="D6" s="5">
        <v>0.69243055555555555</v>
      </c>
      <c r="E6" s="4">
        <f t="shared" si="0"/>
        <v>0.36259259259259258</v>
      </c>
      <c r="F6" s="8">
        <v>0.35416666666666669</v>
      </c>
      <c r="G6" s="8">
        <v>0.33333333333333331</v>
      </c>
      <c r="H6" s="4">
        <f t="shared" si="1"/>
        <v>8.4259259259258923E-3</v>
      </c>
      <c r="I6" s="14"/>
      <c r="J6" s="18" t="s">
        <v>11</v>
      </c>
      <c r="K6" s="43"/>
      <c r="L6" s="43"/>
      <c r="N6" s="14" t="s">
        <v>13</v>
      </c>
      <c r="O6" s="15">
        <v>0.22916666666666666</v>
      </c>
      <c r="P6" t="s">
        <v>19</v>
      </c>
      <c r="Q6" s="15">
        <v>0.22916666666666666</v>
      </c>
      <c r="R6" t="s">
        <v>19</v>
      </c>
    </row>
    <row r="7" spans="1:18" ht="24" x14ac:dyDescent="0.25">
      <c r="A7" s="39" t="s">
        <v>44</v>
      </c>
      <c r="B7" s="22">
        <v>46177</v>
      </c>
      <c r="C7" s="6">
        <v>0.32978009259259261</v>
      </c>
      <c r="D7" s="6">
        <v>0.67333333333333334</v>
      </c>
      <c r="E7" s="4">
        <f t="shared" si="0"/>
        <v>0.34355324074074073</v>
      </c>
      <c r="F7" s="8">
        <v>0.33333333333333331</v>
      </c>
      <c r="G7" s="8">
        <v>0.33333333333333331</v>
      </c>
      <c r="H7" s="4">
        <f t="shared" si="1"/>
        <v>1.0219907407407414E-2</v>
      </c>
      <c r="I7" s="14"/>
      <c r="J7" s="18" t="s">
        <v>12</v>
      </c>
      <c r="K7" s="43"/>
      <c r="L7" s="43"/>
    </row>
    <row r="8" spans="1:18" ht="24" x14ac:dyDescent="0.25">
      <c r="A8" s="2" t="s">
        <v>44</v>
      </c>
      <c r="B8" s="3">
        <v>46178</v>
      </c>
      <c r="C8" s="5">
        <v>0.33200231481481479</v>
      </c>
      <c r="D8" s="5">
        <v>0.5625</v>
      </c>
      <c r="E8" s="4">
        <f t="shared" si="0"/>
        <v>0.23049768518518521</v>
      </c>
      <c r="F8" s="8">
        <v>0.22916666666666666</v>
      </c>
      <c r="G8" s="8">
        <v>0.33333333333333331</v>
      </c>
      <c r="H8" s="4">
        <f t="shared" si="1"/>
        <v>1.3310185185185508E-3</v>
      </c>
      <c r="I8" s="14"/>
      <c r="J8" s="18" t="s">
        <v>13</v>
      </c>
      <c r="K8" s="43"/>
      <c r="L8" s="43"/>
    </row>
    <row r="9" spans="1:18" ht="24" x14ac:dyDescent="0.25">
      <c r="A9" s="39" t="s">
        <v>44</v>
      </c>
      <c r="B9" s="22">
        <v>46181</v>
      </c>
      <c r="C9" s="6">
        <v>0.30625000000000002</v>
      </c>
      <c r="D9" s="6">
        <v>0.75216435185185182</v>
      </c>
      <c r="E9" s="4">
        <f t="shared" si="0"/>
        <v>0.4459143518518518</v>
      </c>
      <c r="F9" s="8">
        <v>0.41666666666666669</v>
      </c>
      <c r="G9" s="8">
        <v>0.33333333333333331</v>
      </c>
      <c r="H9" s="4">
        <f t="shared" si="1"/>
        <v>2.9247685185185113E-2</v>
      </c>
      <c r="I9" s="14"/>
      <c r="J9" s="23" t="s">
        <v>38</v>
      </c>
      <c r="K9" s="43"/>
      <c r="L9" s="43"/>
    </row>
    <row r="10" spans="1:18" ht="24" x14ac:dyDescent="0.25">
      <c r="A10" s="2" t="s">
        <v>44</v>
      </c>
      <c r="B10" s="3">
        <v>46182</v>
      </c>
      <c r="C10" s="5">
        <v>0.32624999999999998</v>
      </c>
      <c r="D10" s="5">
        <v>0.66670138888888886</v>
      </c>
      <c r="E10" s="4">
        <f t="shared" si="0"/>
        <v>0.34045138888888887</v>
      </c>
      <c r="F10" s="8">
        <v>0.33333333333333331</v>
      </c>
      <c r="G10" s="8">
        <v>0.33333333333333331</v>
      </c>
      <c r="H10" s="4">
        <f t="shared" si="1"/>
        <v>7.118055555555558E-3</v>
      </c>
      <c r="I10" s="14"/>
      <c r="J10" s="18" t="s">
        <v>10</v>
      </c>
      <c r="K10" s="43"/>
      <c r="L10" s="43"/>
    </row>
    <row r="11" spans="1:18" ht="24" x14ac:dyDescent="0.25">
      <c r="A11" s="39" t="s">
        <v>44</v>
      </c>
      <c r="B11" s="22">
        <v>46183</v>
      </c>
      <c r="C11" s="5">
        <v>0.33724537037037039</v>
      </c>
      <c r="D11" s="5">
        <v>0.7049305555555555</v>
      </c>
      <c r="E11" s="4">
        <f t="shared" si="0"/>
        <v>0.36768518518518511</v>
      </c>
      <c r="F11" s="8">
        <v>0.35416666666666669</v>
      </c>
      <c r="G11" s="8">
        <v>0.33333333333333331</v>
      </c>
      <c r="H11" s="4">
        <f t="shared" si="1"/>
        <v>1.351851851851843E-2</v>
      </c>
      <c r="I11" s="14"/>
      <c r="J11" s="18" t="s">
        <v>11</v>
      </c>
      <c r="K11" s="43"/>
      <c r="L11" s="43"/>
    </row>
    <row r="12" spans="1:18" ht="24" x14ac:dyDescent="0.25">
      <c r="A12" s="2" t="s">
        <v>44</v>
      </c>
      <c r="B12" s="3" t="s">
        <v>48</v>
      </c>
      <c r="C12" s="6">
        <v>0.33258101851851851</v>
      </c>
      <c r="D12" s="5">
        <v>0.66666666666666663</v>
      </c>
      <c r="E12" s="4">
        <f t="shared" si="0"/>
        <v>0.33408564814814812</v>
      </c>
      <c r="F12" s="8">
        <v>0.33333333333333331</v>
      </c>
      <c r="G12" s="8">
        <v>0.33333333333333331</v>
      </c>
      <c r="H12" s="4">
        <f t="shared" si="1"/>
        <v>7.5231481481480289E-4</v>
      </c>
      <c r="I12" s="14"/>
      <c r="J12" s="18" t="s">
        <v>12</v>
      </c>
      <c r="K12" s="43"/>
    </row>
    <row r="13" spans="1:18" ht="24" x14ac:dyDescent="0.25">
      <c r="A13" s="39" t="s">
        <v>44</v>
      </c>
      <c r="B13" s="22">
        <v>46185</v>
      </c>
      <c r="C13" s="5">
        <v>0.33391203703703703</v>
      </c>
      <c r="D13" s="5">
        <v>0.56359953703703702</v>
      </c>
      <c r="E13" s="4">
        <f t="shared" si="0"/>
        <v>0.22968749999999999</v>
      </c>
      <c r="F13" s="8">
        <v>0.22916666666666666</v>
      </c>
      <c r="G13" s="8">
        <v>0.33333333333333331</v>
      </c>
      <c r="H13" s="4">
        <f t="shared" si="1"/>
        <v>5.2083333333333148E-4</v>
      </c>
      <c r="I13" s="14"/>
      <c r="J13" s="18" t="s">
        <v>13</v>
      </c>
      <c r="K13" s="43"/>
      <c r="L13" s="43"/>
    </row>
    <row r="14" spans="1:18" ht="24" x14ac:dyDescent="0.25">
      <c r="A14" s="2" t="s">
        <v>44</v>
      </c>
      <c r="B14" s="3">
        <v>46188</v>
      </c>
      <c r="C14" s="6">
        <v>0.33582175925925928</v>
      </c>
      <c r="D14" s="6">
        <v>0.75351851851851848</v>
      </c>
      <c r="E14" s="4">
        <f t="shared" si="0"/>
        <v>0.4176967592592592</v>
      </c>
      <c r="F14" s="8">
        <v>0.41666666666666669</v>
      </c>
      <c r="G14" s="8">
        <v>0.33333333333333331</v>
      </c>
      <c r="H14" s="4">
        <f t="shared" si="1"/>
        <v>1.0300925925925131E-3</v>
      </c>
      <c r="I14" s="14"/>
      <c r="J14" s="23" t="s">
        <v>38</v>
      </c>
      <c r="K14" s="43"/>
      <c r="L14" s="43"/>
    </row>
    <row r="15" spans="1:18" ht="24" x14ac:dyDescent="0.25">
      <c r="A15" s="39" t="s">
        <v>44</v>
      </c>
      <c r="B15" s="22">
        <v>46189</v>
      </c>
      <c r="C15" s="5">
        <v>0.32642361111111112</v>
      </c>
      <c r="D15" s="5">
        <v>0.69332175925925921</v>
      </c>
      <c r="E15" s="4">
        <f>D15-C15</f>
        <v>0.36689814814814808</v>
      </c>
      <c r="F15" s="8">
        <v>0.33333333333333331</v>
      </c>
      <c r="G15" s="8">
        <v>0.33333333333333331</v>
      </c>
      <c r="H15" s="4">
        <f t="shared" si="1"/>
        <v>3.356481481481477E-2</v>
      </c>
      <c r="I15" s="14"/>
      <c r="J15" s="18" t="s">
        <v>10</v>
      </c>
      <c r="K15" s="43"/>
      <c r="L15" s="43"/>
    </row>
    <row r="16" spans="1:18" ht="24" x14ac:dyDescent="0.25">
      <c r="A16" s="2" t="s">
        <v>44</v>
      </c>
      <c r="B16" s="3">
        <v>46190</v>
      </c>
      <c r="C16" s="6">
        <v>0.32719907407407406</v>
      </c>
      <c r="D16" s="6">
        <v>0.6965972222222222</v>
      </c>
      <c r="E16" s="4">
        <f t="shared" si="0"/>
        <v>0.36939814814814814</v>
      </c>
      <c r="F16" s="8">
        <v>0.35416666666666669</v>
      </c>
      <c r="G16" s="8">
        <v>0.33333333333333331</v>
      </c>
      <c r="H16" s="4">
        <f t="shared" si="1"/>
        <v>1.5231481481481457E-2</v>
      </c>
      <c r="I16" s="14"/>
      <c r="J16" s="18" t="s">
        <v>11</v>
      </c>
      <c r="K16" s="43"/>
      <c r="L16" s="43"/>
    </row>
    <row r="17" spans="1:12" ht="24" x14ac:dyDescent="0.25">
      <c r="A17" s="39" t="s">
        <v>44</v>
      </c>
      <c r="B17" s="22">
        <v>46191</v>
      </c>
      <c r="C17" s="5">
        <v>0.31952546296296297</v>
      </c>
      <c r="D17" s="5">
        <v>0.66931712962962964</v>
      </c>
      <c r="E17" s="4">
        <f t="shared" si="0"/>
        <v>0.34979166666666667</v>
      </c>
      <c r="F17" s="8">
        <v>0.33333333333333331</v>
      </c>
      <c r="G17" s="8">
        <v>0.33333333333333331</v>
      </c>
      <c r="H17" s="4">
        <f t="shared" si="1"/>
        <v>1.6458333333333353E-2</v>
      </c>
      <c r="I17" s="14"/>
      <c r="J17" s="18" t="s">
        <v>12</v>
      </c>
      <c r="K17" s="43"/>
      <c r="L17" s="43"/>
    </row>
    <row r="18" spans="1:12" ht="24" x14ac:dyDescent="0.25">
      <c r="A18" s="2" t="s">
        <v>44</v>
      </c>
      <c r="B18" s="3">
        <v>46192</v>
      </c>
      <c r="C18" s="6">
        <v>0.32841435185185186</v>
      </c>
      <c r="D18" s="6">
        <v>0.56339120370370366</v>
      </c>
      <c r="E18" s="4">
        <f t="shared" si="0"/>
        <v>0.2349768518518518</v>
      </c>
      <c r="F18" s="8">
        <v>0.22916666666666666</v>
      </c>
      <c r="G18" s="8">
        <v>0.33333333333333331</v>
      </c>
      <c r="H18" s="4">
        <f t="shared" si="1"/>
        <v>5.8101851851851405E-3</v>
      </c>
      <c r="I18" s="14"/>
      <c r="J18" s="18" t="s">
        <v>13</v>
      </c>
      <c r="K18" s="43"/>
      <c r="L18" s="43"/>
    </row>
    <row r="19" spans="1:12" ht="24" x14ac:dyDescent="0.25">
      <c r="A19" s="39" t="s">
        <v>44</v>
      </c>
      <c r="B19" s="22">
        <v>46195</v>
      </c>
      <c r="C19" s="5">
        <v>0.32763888888888887</v>
      </c>
      <c r="D19" s="5">
        <v>0.75277777777777777</v>
      </c>
      <c r="E19" s="4">
        <f t="shared" si="0"/>
        <v>0.4251388888888889</v>
      </c>
      <c r="F19" s="8">
        <v>0.41666666666666669</v>
      </c>
      <c r="G19" s="8">
        <v>0.33333333333333331</v>
      </c>
      <c r="H19" s="4">
        <f t="shared" si="1"/>
        <v>8.4722222222222143E-3</v>
      </c>
      <c r="I19" s="14"/>
      <c r="J19" s="23" t="s">
        <v>38</v>
      </c>
      <c r="K19" s="43"/>
      <c r="L19" s="43"/>
    </row>
    <row r="20" spans="1:12" ht="24" x14ac:dyDescent="0.25">
      <c r="A20" s="2" t="s">
        <v>44</v>
      </c>
      <c r="B20" s="3">
        <v>46196</v>
      </c>
      <c r="C20" s="6">
        <v>0.3225810185185185</v>
      </c>
      <c r="D20" s="6">
        <v>0.65712962962962962</v>
      </c>
      <c r="E20" s="4">
        <f>D20-C20</f>
        <v>0.33454861111111112</v>
      </c>
      <c r="F20" s="8">
        <v>0.33333333333333331</v>
      </c>
      <c r="G20" s="8">
        <v>0.33333333333333331</v>
      </c>
      <c r="H20" s="4">
        <f t="shared" si="1"/>
        <v>1.2152777777778012E-3</v>
      </c>
      <c r="I20" s="14"/>
      <c r="J20" s="18" t="s">
        <v>10</v>
      </c>
      <c r="K20" s="43"/>
      <c r="L20" s="43"/>
    </row>
    <row r="21" spans="1:12" ht="24" x14ac:dyDescent="0.25">
      <c r="A21" s="39" t="s">
        <v>44</v>
      </c>
      <c r="B21" s="22">
        <v>46197</v>
      </c>
      <c r="C21" s="5">
        <v>0.32708333333333334</v>
      </c>
      <c r="D21" s="5">
        <v>0.73340277777777774</v>
      </c>
      <c r="E21" s="4">
        <f>D21-C21</f>
        <v>0.4063194444444444</v>
      </c>
      <c r="F21" s="8">
        <v>0.35416666666666669</v>
      </c>
      <c r="G21" s="8">
        <v>0.33333333333333331</v>
      </c>
      <c r="H21" s="4">
        <f t="shared" si="1"/>
        <v>5.2152777777777715E-2</v>
      </c>
      <c r="I21" s="14"/>
      <c r="J21" s="18" t="s">
        <v>11</v>
      </c>
      <c r="L21" s="43"/>
    </row>
    <row r="22" spans="1:12" ht="24" x14ac:dyDescent="0.25">
      <c r="A22" s="2" t="s">
        <v>44</v>
      </c>
      <c r="B22" s="3">
        <v>46198</v>
      </c>
      <c r="C22" s="6">
        <v>0.32972222222222225</v>
      </c>
      <c r="D22" s="6">
        <v>0.67831018518518515</v>
      </c>
      <c r="E22" s="4">
        <f t="shared" si="0"/>
        <v>0.34858796296296291</v>
      </c>
      <c r="F22" s="8">
        <v>0.33333333333333331</v>
      </c>
      <c r="G22" s="8">
        <v>0.33333333333333331</v>
      </c>
      <c r="H22" s="4">
        <f t="shared" si="1"/>
        <v>1.525462962962959E-2</v>
      </c>
      <c r="I22" s="14"/>
      <c r="J22" s="18" t="s">
        <v>12</v>
      </c>
      <c r="K22" s="43"/>
      <c r="L22" s="43"/>
    </row>
    <row r="23" spans="1:12" ht="24" x14ac:dyDescent="0.25">
      <c r="A23" s="39" t="s">
        <v>44</v>
      </c>
      <c r="B23" s="22">
        <v>46199</v>
      </c>
      <c r="C23" s="5">
        <v>0.32344907407407408</v>
      </c>
      <c r="D23" s="5">
        <v>0.55680555555555555</v>
      </c>
      <c r="E23" s="4">
        <f t="shared" si="0"/>
        <v>0.23335648148148147</v>
      </c>
      <c r="F23" s="8">
        <v>0.22916666666666666</v>
      </c>
      <c r="G23" s="8">
        <v>0.33333333333333331</v>
      </c>
      <c r="H23" s="4">
        <f t="shared" si="1"/>
        <v>4.1898148148148129E-3</v>
      </c>
      <c r="I23" s="14"/>
      <c r="J23" s="18" t="s">
        <v>13</v>
      </c>
      <c r="K23" s="43"/>
      <c r="L23" s="43"/>
    </row>
    <row r="24" spans="1:12" ht="24" x14ac:dyDescent="0.25">
      <c r="A24" s="39" t="s">
        <v>44</v>
      </c>
      <c r="B24" s="22">
        <v>46202</v>
      </c>
      <c r="C24" s="6">
        <v>0.33333333333333331</v>
      </c>
      <c r="D24" s="6">
        <v>0.75</v>
      </c>
      <c r="E24" s="4">
        <f t="shared" si="0"/>
        <v>0.41666666666666669</v>
      </c>
      <c r="F24" s="8">
        <v>0.41666666666666669</v>
      </c>
      <c r="G24" s="8">
        <v>0.33333333333333331</v>
      </c>
      <c r="H24" s="4">
        <f t="shared" si="1"/>
        <v>0</v>
      </c>
      <c r="I24" s="14"/>
      <c r="J24" s="18" t="s">
        <v>38</v>
      </c>
      <c r="K24" s="43"/>
      <c r="L24" s="49" t="s">
        <v>51</v>
      </c>
    </row>
    <row r="25" spans="1:12" ht="24" x14ac:dyDescent="0.25">
      <c r="A25" s="2" t="s">
        <v>44</v>
      </c>
      <c r="B25" s="3">
        <v>46203</v>
      </c>
      <c r="C25" s="5">
        <v>0.33333333333333331</v>
      </c>
      <c r="D25" s="5">
        <v>0.66666666666666663</v>
      </c>
      <c r="E25" s="4">
        <f>D25-C25</f>
        <v>0.33333333333333331</v>
      </c>
      <c r="F25" s="8">
        <v>0.33333333333333331</v>
      </c>
      <c r="G25" s="8">
        <v>0.33333333333333331</v>
      </c>
      <c r="H25" s="4">
        <f t="shared" si="1"/>
        <v>0</v>
      </c>
      <c r="I25" s="14"/>
      <c r="J25" s="23" t="s">
        <v>10</v>
      </c>
      <c r="K25" s="48"/>
      <c r="L25" s="49" t="s">
        <v>51</v>
      </c>
    </row>
    <row r="26" spans="1:12" x14ac:dyDescent="0.25">
      <c r="A26" s="9" t="s">
        <v>6</v>
      </c>
      <c r="B26" s="10"/>
      <c r="C26" s="11"/>
      <c r="D26" s="11"/>
      <c r="E26" s="12">
        <f>SUM(E4:E25)</f>
        <v>7.6521180555555564</v>
      </c>
      <c r="F26" s="12">
        <f>SUM(F4:F25)</f>
        <v>7.416666666666667</v>
      </c>
      <c r="G26" s="12">
        <f>SUM(G4:G25)</f>
        <v>7.3333333333333304</v>
      </c>
      <c r="H26" s="12">
        <f>SUM(H4:H25)</f>
        <v>0.23545138888888845</v>
      </c>
      <c r="I26" s="4"/>
      <c r="J26" s="23"/>
      <c r="L26" s="44"/>
    </row>
    <row r="27" spans="1:12" ht="24" x14ac:dyDescent="0.25">
      <c r="A27" s="27" t="s">
        <v>29</v>
      </c>
      <c r="H27" s="46">
        <f>H26+'2026.05'!H26</f>
        <v>0.28695601851851837</v>
      </c>
      <c r="K27" s="4"/>
    </row>
  </sheetData>
  <mergeCells count="3">
    <mergeCell ref="A1:D1"/>
    <mergeCell ref="E1:H2"/>
    <mergeCell ref="A2:D2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73BE1-09EA-4790-BD16-01DD436D77F8}">
  <dimension ref="A1:R28"/>
  <sheetViews>
    <sheetView topLeftCell="A10" workbookViewId="0">
      <selection activeCell="H28" sqref="H28"/>
    </sheetView>
  </sheetViews>
  <sheetFormatPr defaultRowHeight="15" x14ac:dyDescent="0.25"/>
  <cols>
    <col min="1" max="1" width="8.7109375" bestFit="1" customWidth="1"/>
    <col min="2" max="2" width="10.140625" bestFit="1" customWidth="1"/>
    <col min="3" max="3" width="8.7109375" bestFit="1" customWidth="1"/>
    <col min="4" max="4" width="8.5703125" bestFit="1" customWidth="1"/>
    <col min="5" max="8" width="11" customWidth="1"/>
  </cols>
  <sheetData>
    <row r="1" spans="1:18" s="13" customFormat="1" ht="46.5" customHeight="1" x14ac:dyDescent="0.25">
      <c r="A1" s="50" t="s">
        <v>0</v>
      </c>
      <c r="B1" s="50"/>
      <c r="C1" s="50"/>
      <c r="D1" s="50"/>
      <c r="E1" s="51" t="s">
        <v>7</v>
      </c>
      <c r="F1" s="51"/>
      <c r="G1" s="51"/>
      <c r="H1" s="51"/>
      <c r="I1" s="16"/>
      <c r="J1" s="16"/>
      <c r="M1"/>
      <c r="N1" s="13" t="s">
        <v>20</v>
      </c>
      <c r="O1" s="13" t="s">
        <v>21</v>
      </c>
      <c r="P1" s="13" t="s">
        <v>22</v>
      </c>
      <c r="Q1" s="13" t="s">
        <v>35</v>
      </c>
      <c r="R1" s="13" t="s">
        <v>36</v>
      </c>
    </row>
    <row r="2" spans="1:18" ht="38.25" customHeight="1" x14ac:dyDescent="0.25">
      <c r="A2" s="52" t="s">
        <v>52</v>
      </c>
      <c r="B2" s="52"/>
      <c r="C2" s="52"/>
      <c r="D2" s="52"/>
      <c r="E2" s="51"/>
      <c r="F2" s="51"/>
      <c r="G2" s="51"/>
      <c r="H2" s="51"/>
      <c r="I2" s="16"/>
      <c r="J2" s="16"/>
      <c r="K2" s="14"/>
      <c r="L2" s="14"/>
      <c r="N2" s="14" t="s">
        <v>38</v>
      </c>
      <c r="O2" s="15">
        <v>0.41666666666666669</v>
      </c>
      <c r="P2" t="s">
        <v>16</v>
      </c>
      <c r="Q2" s="15">
        <v>0.375</v>
      </c>
      <c r="R2" t="s">
        <v>39</v>
      </c>
    </row>
    <row r="3" spans="1:18" ht="45" x14ac:dyDescent="0.25">
      <c r="A3" s="1" t="s">
        <v>1</v>
      </c>
      <c r="B3" s="1" t="s">
        <v>2</v>
      </c>
      <c r="C3" s="1" t="s">
        <v>3</v>
      </c>
      <c r="D3" s="1" t="s">
        <v>4</v>
      </c>
      <c r="E3" s="7" t="s">
        <v>5</v>
      </c>
      <c r="F3" s="7" t="s">
        <v>8</v>
      </c>
      <c r="G3" s="7" t="s">
        <v>14</v>
      </c>
      <c r="H3" s="7" t="s">
        <v>23</v>
      </c>
      <c r="I3" s="17"/>
      <c r="J3" s="19" t="s">
        <v>24</v>
      </c>
      <c r="K3" s="20" t="s">
        <v>25</v>
      </c>
      <c r="L3" s="21" t="s">
        <v>26</v>
      </c>
      <c r="N3" s="14" t="s">
        <v>10</v>
      </c>
      <c r="O3" s="15">
        <v>0.33333333333333331</v>
      </c>
      <c r="P3" t="s">
        <v>17</v>
      </c>
      <c r="Q3" s="15">
        <v>0.35416666666666669</v>
      </c>
      <c r="R3" t="s">
        <v>18</v>
      </c>
    </row>
    <row r="4" spans="1:18" ht="24" x14ac:dyDescent="0.25">
      <c r="A4" s="2" t="s">
        <v>44</v>
      </c>
      <c r="B4" s="3">
        <v>46204</v>
      </c>
      <c r="C4" s="5">
        <v>0.33333333333333331</v>
      </c>
      <c r="D4" s="5">
        <v>0.6875</v>
      </c>
      <c r="E4" s="4">
        <f>D4-C4</f>
        <v>0.35416666666666669</v>
      </c>
      <c r="F4" s="8">
        <v>0</v>
      </c>
      <c r="G4" s="8">
        <v>0</v>
      </c>
      <c r="H4" s="4">
        <f>E4-F4</f>
        <v>0.35416666666666669</v>
      </c>
      <c r="I4" s="14"/>
      <c r="J4" s="23" t="s">
        <v>11</v>
      </c>
      <c r="K4" s="42"/>
      <c r="L4" s="48"/>
      <c r="N4" s="14" t="s">
        <v>11</v>
      </c>
      <c r="O4" s="15">
        <v>0.35416666666666669</v>
      </c>
      <c r="P4" t="s">
        <v>18</v>
      </c>
      <c r="Q4" s="15">
        <v>0.35416666666666669</v>
      </c>
      <c r="R4" t="s">
        <v>18</v>
      </c>
    </row>
    <row r="5" spans="1:18" ht="24" x14ac:dyDescent="0.25">
      <c r="A5" s="39" t="s">
        <v>44</v>
      </c>
      <c r="B5" s="22">
        <v>46205</v>
      </c>
      <c r="C5" s="6">
        <v>0.33333333333333331</v>
      </c>
      <c r="D5" s="6">
        <v>0.66666666666666663</v>
      </c>
      <c r="E5" s="4">
        <f t="shared" ref="E5:E24" si="0">D5-C5</f>
        <v>0.33333333333333331</v>
      </c>
      <c r="F5" s="8">
        <v>0.33333333333333331</v>
      </c>
      <c r="G5" s="8">
        <v>0.33333333333333331</v>
      </c>
      <c r="H5" s="4">
        <f t="shared" ref="H5:H25" si="1">E5-F5</f>
        <v>0</v>
      </c>
      <c r="I5" s="14"/>
      <c r="J5" s="18" t="s">
        <v>12</v>
      </c>
      <c r="K5" s="47"/>
      <c r="N5" s="14" t="s">
        <v>12</v>
      </c>
      <c r="O5" s="15">
        <v>0.33333333333333331</v>
      </c>
      <c r="P5" s="8" t="s">
        <v>17</v>
      </c>
      <c r="Q5" s="15">
        <v>0.35416666666666669</v>
      </c>
      <c r="R5" s="8" t="s">
        <v>18</v>
      </c>
    </row>
    <row r="6" spans="1:18" ht="24" x14ac:dyDescent="0.25">
      <c r="A6" s="2" t="s">
        <v>44</v>
      </c>
      <c r="B6" s="3">
        <v>46206</v>
      </c>
      <c r="C6" s="5">
        <v>0.33333333333333331</v>
      </c>
      <c r="D6" s="5">
        <v>0.5625</v>
      </c>
      <c r="E6" s="4">
        <f t="shared" si="0"/>
        <v>0.22916666666666669</v>
      </c>
      <c r="F6" s="8">
        <v>0.22916666666666666</v>
      </c>
      <c r="G6" s="8">
        <v>0.22916666666666666</v>
      </c>
      <c r="H6" s="4">
        <f t="shared" si="1"/>
        <v>0</v>
      </c>
      <c r="I6" s="14"/>
      <c r="J6" s="18" t="s">
        <v>53</v>
      </c>
      <c r="K6" s="43"/>
      <c r="L6" s="43"/>
      <c r="N6" s="14" t="s">
        <v>13</v>
      </c>
      <c r="O6" s="15">
        <v>0.22916666666666666</v>
      </c>
      <c r="P6" t="s">
        <v>19</v>
      </c>
      <c r="Q6" s="15">
        <v>0.22916666666666666</v>
      </c>
      <c r="R6" t="s">
        <v>19</v>
      </c>
    </row>
    <row r="7" spans="1:18" ht="24" x14ac:dyDescent="0.25">
      <c r="A7" s="39" t="s">
        <v>44</v>
      </c>
      <c r="B7" s="22">
        <v>46209</v>
      </c>
      <c r="C7" s="5">
        <v>0.33236111111111111</v>
      </c>
      <c r="D7" s="37">
        <v>0.75266203703703705</v>
      </c>
      <c r="E7" s="4">
        <f t="shared" ref="E7" si="2">D7-C7</f>
        <v>0.42030092592592594</v>
      </c>
      <c r="F7" s="8">
        <v>0.41666666666666669</v>
      </c>
      <c r="G7" s="8">
        <v>0.33333333333333331</v>
      </c>
      <c r="H7" s="4">
        <f t="shared" ref="H7:H18" si="3">E7-F7</f>
        <v>3.6342592592592537E-3</v>
      </c>
      <c r="I7" s="14"/>
      <c r="J7" s="23" t="s">
        <v>38</v>
      </c>
      <c r="K7" s="43"/>
      <c r="L7" s="43"/>
    </row>
    <row r="8" spans="1:18" ht="24" x14ac:dyDescent="0.25">
      <c r="A8" s="2" t="s">
        <v>44</v>
      </c>
      <c r="B8" s="3">
        <v>46210</v>
      </c>
      <c r="C8" s="6">
        <v>0.33195601851851853</v>
      </c>
      <c r="D8" s="37">
        <v>0.66668981481481482</v>
      </c>
      <c r="E8" s="4">
        <f>D8-C8</f>
        <v>0.33473379629629629</v>
      </c>
      <c r="F8" s="8">
        <v>0.33333333333333331</v>
      </c>
      <c r="G8" s="8">
        <v>0.33333333333333331</v>
      </c>
      <c r="H8" s="4">
        <f t="shared" si="3"/>
        <v>1.4004629629629783E-3</v>
      </c>
      <c r="I8" s="14"/>
      <c r="J8" s="18" t="s">
        <v>10</v>
      </c>
      <c r="K8" s="43"/>
      <c r="L8" s="43"/>
    </row>
    <row r="9" spans="1:18" ht="24" x14ac:dyDescent="0.25">
      <c r="A9" s="39" t="s">
        <v>44</v>
      </c>
      <c r="B9" s="22">
        <v>46211</v>
      </c>
      <c r="C9" s="5">
        <v>0.33025462962962965</v>
      </c>
      <c r="D9" s="5">
        <v>0.68939814814814815</v>
      </c>
      <c r="E9" s="4">
        <f t="shared" ref="E9:E12" si="4">D9-C9</f>
        <v>0.3591435185185185</v>
      </c>
      <c r="F9" s="8">
        <v>0.35416666666666669</v>
      </c>
      <c r="G9" s="8">
        <v>0.33333333333333331</v>
      </c>
      <c r="H9" s="4">
        <f t="shared" si="3"/>
        <v>4.9768518518518157E-3</v>
      </c>
      <c r="I9" s="14"/>
      <c r="J9" s="18" t="s">
        <v>11</v>
      </c>
      <c r="K9" s="43"/>
      <c r="L9" s="43"/>
    </row>
    <row r="10" spans="1:18" ht="24" x14ac:dyDescent="0.25">
      <c r="A10" s="2" t="s">
        <v>44</v>
      </c>
      <c r="B10" s="3">
        <v>46212</v>
      </c>
      <c r="C10" s="6">
        <v>0.33328703703703705</v>
      </c>
      <c r="D10" s="37">
        <v>0.66921296296296295</v>
      </c>
      <c r="E10" s="4">
        <f t="shared" si="4"/>
        <v>0.33592592592592591</v>
      </c>
      <c r="F10" s="8">
        <v>0.33333333333333331</v>
      </c>
      <c r="G10" s="8">
        <v>0.33333333333333331</v>
      </c>
      <c r="H10" s="4">
        <f t="shared" si="3"/>
        <v>2.5925925925925908E-3</v>
      </c>
      <c r="I10" s="14"/>
      <c r="J10" s="18" t="s">
        <v>12</v>
      </c>
      <c r="K10" s="43"/>
      <c r="L10" s="43"/>
    </row>
    <row r="11" spans="1:18" ht="24" x14ac:dyDescent="0.25">
      <c r="A11" s="39" t="s">
        <v>44</v>
      </c>
      <c r="B11" s="22">
        <v>46213</v>
      </c>
      <c r="C11" s="5">
        <v>0.33243055555555556</v>
      </c>
      <c r="D11" s="5">
        <v>0.56906250000000003</v>
      </c>
      <c r="E11" s="4">
        <f t="shared" si="4"/>
        <v>0.23663194444444446</v>
      </c>
      <c r="F11" s="8">
        <v>0.22916666666666666</v>
      </c>
      <c r="G11" s="8">
        <v>0.33333333333333331</v>
      </c>
      <c r="H11" s="4">
        <f t="shared" si="3"/>
        <v>7.4652777777778068E-3</v>
      </c>
      <c r="I11" s="14"/>
      <c r="J11" s="18" t="s">
        <v>13</v>
      </c>
      <c r="K11" s="43"/>
      <c r="L11" s="43"/>
    </row>
    <row r="12" spans="1:18" ht="24" x14ac:dyDescent="0.25">
      <c r="A12" s="39" t="s">
        <v>44</v>
      </c>
      <c r="B12" s="22">
        <v>46216</v>
      </c>
      <c r="C12" s="5">
        <v>0.33236111111111111</v>
      </c>
      <c r="D12" s="37">
        <v>0.75266203703703705</v>
      </c>
      <c r="E12" s="4">
        <f t="shared" si="4"/>
        <v>0.42030092592592594</v>
      </c>
      <c r="F12" s="8">
        <v>0.41666666666666669</v>
      </c>
      <c r="G12" s="8">
        <v>0.33333333333333331</v>
      </c>
      <c r="H12" s="4">
        <f t="shared" ref="H12" si="5">E12-F12</f>
        <v>3.6342592592592537E-3</v>
      </c>
      <c r="I12" s="14"/>
      <c r="J12" s="23" t="s">
        <v>38</v>
      </c>
      <c r="K12" s="43"/>
      <c r="L12" s="43"/>
    </row>
    <row r="13" spans="1:18" ht="24" x14ac:dyDescent="0.25">
      <c r="A13" s="39" t="s">
        <v>44</v>
      </c>
      <c r="B13" s="22">
        <v>46217</v>
      </c>
      <c r="C13" s="5">
        <v>0.3308564814814815</v>
      </c>
      <c r="D13" s="5">
        <v>0.66943287037037036</v>
      </c>
      <c r="E13" s="4">
        <f>D13-C13</f>
        <v>0.33857638888888886</v>
      </c>
      <c r="F13" s="8">
        <v>0.33333333333333331</v>
      </c>
      <c r="G13" s="8">
        <v>0.33333333333333331</v>
      </c>
      <c r="H13" s="4">
        <f t="shared" si="3"/>
        <v>5.2430555555555425E-3</v>
      </c>
      <c r="I13" s="14"/>
      <c r="J13" s="18" t="s">
        <v>10</v>
      </c>
      <c r="K13" s="43"/>
      <c r="L13" s="43"/>
    </row>
    <row r="14" spans="1:18" ht="24" x14ac:dyDescent="0.25">
      <c r="A14" s="2" t="s">
        <v>44</v>
      </c>
      <c r="B14" s="3">
        <v>46218</v>
      </c>
      <c r="C14" s="37">
        <v>0.33333333333333331</v>
      </c>
      <c r="D14" s="6">
        <v>0.69162037037037039</v>
      </c>
      <c r="E14" s="4">
        <f t="shared" ref="E14:E17" si="6">D14-C14</f>
        <v>0.35828703703703707</v>
      </c>
      <c r="F14" s="8">
        <v>0.35416666666666669</v>
      </c>
      <c r="G14" s="8">
        <v>0.33333333333333331</v>
      </c>
      <c r="H14" s="4">
        <f t="shared" si="3"/>
        <v>4.1203703703703853E-3</v>
      </c>
      <c r="I14" s="14"/>
      <c r="J14" s="18" t="s">
        <v>11</v>
      </c>
      <c r="K14" s="43"/>
      <c r="L14" s="43"/>
    </row>
    <row r="15" spans="1:18" ht="24" x14ac:dyDescent="0.25">
      <c r="A15" s="39" t="s">
        <v>44</v>
      </c>
      <c r="B15" s="22">
        <v>46219</v>
      </c>
      <c r="C15" s="5">
        <v>0.33333333333333331</v>
      </c>
      <c r="D15" s="5">
        <v>0.67087962962962966</v>
      </c>
      <c r="E15" s="4">
        <f t="shared" si="6"/>
        <v>0.33754629629629634</v>
      </c>
      <c r="F15" s="8">
        <v>0.33333333333333331</v>
      </c>
      <c r="G15" s="8">
        <v>0.33333333333333331</v>
      </c>
      <c r="H15" s="4">
        <f t="shared" si="3"/>
        <v>4.2129629629630294E-3</v>
      </c>
      <c r="I15" s="14"/>
      <c r="J15" s="18" t="s">
        <v>12</v>
      </c>
      <c r="K15" s="43"/>
      <c r="L15" s="43"/>
    </row>
    <row r="16" spans="1:18" ht="24" x14ac:dyDescent="0.25">
      <c r="A16" s="2" t="s">
        <v>44</v>
      </c>
      <c r="B16" s="3">
        <v>46220</v>
      </c>
      <c r="C16" s="6">
        <v>0.32832175925925927</v>
      </c>
      <c r="D16" s="6">
        <v>0.56462962962962959</v>
      </c>
      <c r="E16" s="4">
        <f t="shared" si="6"/>
        <v>0.23630787037037032</v>
      </c>
      <c r="F16" s="8">
        <v>0.22916666666666666</v>
      </c>
      <c r="G16" s="8">
        <v>0.33333333333333331</v>
      </c>
      <c r="H16" s="4">
        <f t="shared" si="3"/>
        <v>7.1412037037036635E-3</v>
      </c>
      <c r="I16" s="14"/>
      <c r="J16" s="18" t="s">
        <v>13</v>
      </c>
      <c r="K16" s="43"/>
      <c r="L16" s="43"/>
    </row>
    <row r="17" spans="1:12" ht="24" x14ac:dyDescent="0.25">
      <c r="A17" s="39" t="s">
        <v>44</v>
      </c>
      <c r="B17" s="22">
        <v>46223</v>
      </c>
      <c r="C17" s="5">
        <v>0.33236111111111111</v>
      </c>
      <c r="D17" s="37">
        <v>0.75266203703703705</v>
      </c>
      <c r="E17" s="4">
        <f t="shared" si="6"/>
        <v>0.42030092592592594</v>
      </c>
      <c r="F17" s="8">
        <v>0.41666666666666669</v>
      </c>
      <c r="G17" s="8">
        <v>0.33333333333333331</v>
      </c>
      <c r="H17" s="4">
        <f t="shared" si="3"/>
        <v>3.6342592592592537E-3</v>
      </c>
      <c r="I17" s="14"/>
      <c r="J17" s="23" t="s">
        <v>38</v>
      </c>
      <c r="K17" s="43"/>
      <c r="L17" s="43"/>
    </row>
    <row r="18" spans="1:12" ht="24" x14ac:dyDescent="0.25">
      <c r="A18" s="2" t="s">
        <v>44</v>
      </c>
      <c r="B18" s="3">
        <v>46224</v>
      </c>
      <c r="C18" s="5">
        <v>0.33137731481481481</v>
      </c>
      <c r="D18" s="5">
        <v>0.66762731481481485</v>
      </c>
      <c r="E18" s="4">
        <f>D18-C18</f>
        <v>0.33625000000000005</v>
      </c>
      <c r="F18" s="8">
        <v>0.33333333333333331</v>
      </c>
      <c r="G18" s="8">
        <v>0.33333333333333331</v>
      </c>
      <c r="H18" s="4">
        <f t="shared" ref="H18:H21" si="7">E18-F18</f>
        <v>2.916666666666734E-3</v>
      </c>
      <c r="I18" s="14"/>
      <c r="J18" s="18" t="s">
        <v>10</v>
      </c>
      <c r="K18" s="43"/>
      <c r="L18" s="43"/>
    </row>
    <row r="19" spans="1:12" ht="24" x14ac:dyDescent="0.25">
      <c r="A19" s="2" t="s">
        <v>44</v>
      </c>
      <c r="B19" s="3">
        <v>46225</v>
      </c>
      <c r="C19" s="6">
        <v>0.33193287037037039</v>
      </c>
      <c r="D19" s="6">
        <v>0.6892476851851852</v>
      </c>
      <c r="E19" s="4">
        <f t="shared" ref="E19:E21" si="8">D19-C19</f>
        <v>0.35731481481481481</v>
      </c>
      <c r="F19" s="8">
        <v>0.35416666666666669</v>
      </c>
      <c r="G19" s="8">
        <v>0.33333333333333331</v>
      </c>
      <c r="H19" s="4">
        <f t="shared" si="7"/>
        <v>3.1481481481481222E-3</v>
      </c>
      <c r="I19" s="14"/>
      <c r="J19" s="18" t="s">
        <v>11</v>
      </c>
      <c r="K19" s="43"/>
      <c r="L19" s="43"/>
    </row>
    <row r="20" spans="1:12" ht="24" x14ac:dyDescent="0.25">
      <c r="A20" s="39" t="s">
        <v>44</v>
      </c>
      <c r="B20" s="22">
        <v>46226</v>
      </c>
      <c r="C20" s="5">
        <v>0.33438657407407407</v>
      </c>
      <c r="D20" s="5">
        <v>0.69060185185185186</v>
      </c>
      <c r="E20" s="4">
        <f t="shared" si="8"/>
        <v>0.35621527777777778</v>
      </c>
      <c r="F20" s="8">
        <v>0.33333333333333331</v>
      </c>
      <c r="G20" s="8">
        <v>0.33333333333333331</v>
      </c>
      <c r="H20" s="4">
        <f t="shared" si="7"/>
        <v>2.2881944444444469E-2</v>
      </c>
      <c r="I20" s="14"/>
      <c r="J20" s="18" t="s">
        <v>12</v>
      </c>
      <c r="K20" s="43"/>
      <c r="L20" s="43"/>
    </row>
    <row r="21" spans="1:12" ht="24" x14ac:dyDescent="0.25">
      <c r="A21" s="39" t="s">
        <v>44</v>
      </c>
      <c r="B21" s="22">
        <v>46227</v>
      </c>
      <c r="C21" s="6">
        <v>0.32013888888888886</v>
      </c>
      <c r="D21" s="6">
        <v>0.57325231481481487</v>
      </c>
      <c r="E21" s="4">
        <f t="shared" si="8"/>
        <v>0.25311342592592601</v>
      </c>
      <c r="F21" s="8">
        <v>0.22916666666666666</v>
      </c>
      <c r="G21" s="8">
        <v>0.33333333333333331</v>
      </c>
      <c r="H21" s="4">
        <f t="shared" si="7"/>
        <v>2.3946759259259348E-2</v>
      </c>
      <c r="I21" s="14"/>
      <c r="J21" s="18" t="s">
        <v>13</v>
      </c>
      <c r="K21" s="43"/>
      <c r="L21" s="43"/>
    </row>
    <row r="22" spans="1:12" ht="24" x14ac:dyDescent="0.25">
      <c r="A22" s="2" t="s">
        <v>44</v>
      </c>
      <c r="B22" s="3">
        <v>46230</v>
      </c>
      <c r="C22" s="5">
        <v>0.31321759259259258</v>
      </c>
      <c r="D22" s="37">
        <v>0.7088888888888889</v>
      </c>
      <c r="E22" s="4">
        <v>0</v>
      </c>
      <c r="F22" s="8">
        <v>0.41666666666666669</v>
      </c>
      <c r="G22" s="8">
        <v>0.33333333333333331</v>
      </c>
      <c r="H22" s="4">
        <v>-0.41666666666666669</v>
      </c>
      <c r="I22" s="14"/>
      <c r="J22" s="18" t="s">
        <v>38</v>
      </c>
      <c r="K22" s="43"/>
      <c r="L22" s="43"/>
    </row>
    <row r="23" spans="1:12" ht="24" x14ac:dyDescent="0.25">
      <c r="A23" s="2" t="s">
        <v>44</v>
      </c>
      <c r="B23" s="3">
        <v>46231</v>
      </c>
      <c r="C23" s="6">
        <v>0.33196759259259262</v>
      </c>
      <c r="D23" s="37">
        <v>0.66710648148148144</v>
      </c>
      <c r="E23" s="4">
        <f>D23-C23</f>
        <v>0.33513888888888882</v>
      </c>
      <c r="F23" s="8">
        <v>0.33333333333333331</v>
      </c>
      <c r="G23" s="8">
        <v>0.33333333333333331</v>
      </c>
      <c r="H23" s="4">
        <f t="shared" ref="H23:H26" si="9">E23-F23</f>
        <v>1.8055555555555047E-3</v>
      </c>
      <c r="I23" s="14"/>
      <c r="J23" s="18" t="s">
        <v>10</v>
      </c>
      <c r="K23" s="43"/>
      <c r="L23" s="43"/>
    </row>
    <row r="24" spans="1:12" ht="24" x14ac:dyDescent="0.25">
      <c r="A24" s="2" t="s">
        <v>44</v>
      </c>
      <c r="B24" s="3">
        <v>46232</v>
      </c>
      <c r="C24" s="5">
        <v>0.32377314814814817</v>
      </c>
      <c r="D24" s="5">
        <v>0.6704282407407407</v>
      </c>
      <c r="E24" s="4">
        <f t="shared" ref="E24:E26" si="10">D24-C24</f>
        <v>0.34665509259259253</v>
      </c>
      <c r="F24" s="8">
        <v>0.35416666666666669</v>
      </c>
      <c r="G24" s="8">
        <v>0.33333333333333331</v>
      </c>
      <c r="H24" s="4">
        <f t="shared" si="9"/>
        <v>-7.5115740740741566E-3</v>
      </c>
      <c r="I24" s="14"/>
      <c r="J24" s="18" t="s">
        <v>11</v>
      </c>
      <c r="K24" s="43"/>
      <c r="L24" s="43"/>
    </row>
    <row r="25" spans="1:12" ht="24" x14ac:dyDescent="0.25">
      <c r="A25" s="39" t="s">
        <v>44</v>
      </c>
      <c r="B25" s="22">
        <v>46233</v>
      </c>
      <c r="C25" s="6">
        <v>0.32994212962962965</v>
      </c>
      <c r="D25" s="6">
        <v>0.6811342592592593</v>
      </c>
      <c r="E25" s="4">
        <f t="shared" si="10"/>
        <v>0.35119212962962965</v>
      </c>
      <c r="F25" s="8">
        <v>0.33333333333333331</v>
      </c>
      <c r="G25" s="8">
        <v>0.33333333333333331</v>
      </c>
      <c r="H25" s="4">
        <f t="shared" si="9"/>
        <v>1.7858796296296331E-2</v>
      </c>
      <c r="I25" s="14"/>
      <c r="J25" s="18" t="s">
        <v>12</v>
      </c>
      <c r="K25" s="43"/>
      <c r="L25" s="43"/>
    </row>
    <row r="26" spans="1:12" ht="24" x14ac:dyDescent="0.25">
      <c r="A26" s="39" t="s">
        <v>44</v>
      </c>
      <c r="B26" s="22">
        <v>46234</v>
      </c>
      <c r="C26" s="5">
        <v>0.32703703703703701</v>
      </c>
      <c r="D26" s="5">
        <v>0.52744212962962966</v>
      </c>
      <c r="E26" s="4">
        <f t="shared" si="10"/>
        <v>0.20040509259259265</v>
      </c>
      <c r="F26" s="8">
        <v>0.22916666666666666</v>
      </c>
      <c r="G26" s="8">
        <v>0.33333333333333331</v>
      </c>
      <c r="H26" s="4">
        <f t="shared" si="9"/>
        <v>-2.8761574074074009E-2</v>
      </c>
      <c r="I26" s="14"/>
      <c r="J26" s="18" t="s">
        <v>13</v>
      </c>
      <c r="K26" s="43"/>
      <c r="L26" s="43"/>
    </row>
    <row r="27" spans="1:12" x14ac:dyDescent="0.25">
      <c r="A27" s="9" t="s">
        <v>6</v>
      </c>
      <c r="B27" s="10"/>
      <c r="C27" s="11"/>
      <c r="D27" s="11"/>
      <c r="E27" s="12">
        <f>SUM(E4:E25)</f>
        <v>7.0506018518518516</v>
      </c>
      <c r="F27" s="12">
        <f>SUM(F4:F25)</f>
        <v>7</v>
      </c>
      <c r="G27" s="12">
        <f>SUM(G4:G25)</f>
        <v>6.8958333333333313</v>
      </c>
      <c r="H27" s="12">
        <f>SUM(H4:H25)</f>
        <v>5.0601851851851898E-2</v>
      </c>
      <c r="I27" s="4"/>
      <c r="J27" s="23"/>
      <c r="L27" s="44"/>
    </row>
    <row r="28" spans="1:12" ht="24" x14ac:dyDescent="0.25">
      <c r="A28" s="27" t="s">
        <v>29</v>
      </c>
      <c r="H28" s="46" t="e">
        <f>H27+'[1]2026.06'!H27</f>
        <v>#REF!</v>
      </c>
      <c r="K28" s="4"/>
    </row>
  </sheetData>
  <mergeCells count="3">
    <mergeCell ref="A1:D1"/>
    <mergeCell ref="E1:H2"/>
    <mergeCell ref="A2:D2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DD74B-7650-4AA5-B921-CF02EB3C1FC9}">
  <dimension ref="A1:R23"/>
  <sheetViews>
    <sheetView tabSelected="1" workbookViewId="0">
      <selection activeCell="H23" sqref="H23"/>
    </sheetView>
  </sheetViews>
  <sheetFormatPr defaultRowHeight="15" x14ac:dyDescent="0.25"/>
  <cols>
    <col min="2" max="2" width="10.140625" bestFit="1" customWidth="1"/>
  </cols>
  <sheetData>
    <row r="1" spans="1:18" ht="75" x14ac:dyDescent="0.25">
      <c r="A1" s="50" t="s">
        <v>0</v>
      </c>
      <c r="B1" s="50"/>
      <c r="C1" s="50"/>
      <c r="D1" s="50"/>
      <c r="E1" s="51" t="s">
        <v>7</v>
      </c>
      <c r="F1" s="51"/>
      <c r="G1" s="51"/>
      <c r="H1" s="51"/>
      <c r="I1" s="16"/>
      <c r="J1" s="16"/>
      <c r="K1" s="13"/>
      <c r="L1" s="13"/>
      <c r="N1" s="13" t="s">
        <v>20</v>
      </c>
      <c r="O1" s="13" t="s">
        <v>21</v>
      </c>
      <c r="P1" s="13" t="s">
        <v>22</v>
      </c>
      <c r="Q1" s="13" t="s">
        <v>35</v>
      </c>
      <c r="R1" s="13" t="s">
        <v>36</v>
      </c>
    </row>
    <row r="2" spans="1:18" ht="42" customHeight="1" x14ac:dyDescent="0.25">
      <c r="A2" s="52" t="s">
        <v>54</v>
      </c>
      <c r="B2" s="52"/>
      <c r="C2" s="52"/>
      <c r="D2" s="52"/>
      <c r="E2" s="51"/>
      <c r="F2" s="51"/>
      <c r="G2" s="51"/>
      <c r="H2" s="51"/>
      <c r="I2" s="16"/>
      <c r="J2" s="16"/>
      <c r="K2" s="14"/>
      <c r="L2" s="14"/>
      <c r="N2" s="14" t="s">
        <v>38</v>
      </c>
      <c r="O2" s="15">
        <v>0.41666666666666669</v>
      </c>
      <c r="P2" t="s">
        <v>16</v>
      </c>
      <c r="Q2" s="15">
        <v>0.375</v>
      </c>
      <c r="R2" t="s">
        <v>39</v>
      </c>
    </row>
    <row r="3" spans="1:18" ht="57" x14ac:dyDescent="0.25">
      <c r="A3" s="1" t="s">
        <v>1</v>
      </c>
      <c r="B3" s="1" t="s">
        <v>2</v>
      </c>
      <c r="C3" s="1" t="s">
        <v>3</v>
      </c>
      <c r="D3" s="1" t="s">
        <v>4</v>
      </c>
      <c r="E3" s="7" t="s">
        <v>5</v>
      </c>
      <c r="F3" s="7" t="s">
        <v>8</v>
      </c>
      <c r="G3" s="7" t="s">
        <v>14</v>
      </c>
      <c r="H3" s="7" t="s">
        <v>23</v>
      </c>
      <c r="I3" s="17"/>
      <c r="J3" s="19" t="s">
        <v>24</v>
      </c>
      <c r="K3" s="20" t="s">
        <v>25</v>
      </c>
      <c r="L3" s="21" t="s">
        <v>26</v>
      </c>
      <c r="N3" s="14" t="s">
        <v>10</v>
      </c>
      <c r="O3" s="15">
        <v>0.33333333333333331</v>
      </c>
      <c r="P3" t="s">
        <v>17</v>
      </c>
      <c r="Q3" s="15">
        <v>0.35416666666666669</v>
      </c>
      <c r="R3" t="s">
        <v>18</v>
      </c>
    </row>
    <row r="4" spans="1:18" ht="24" x14ac:dyDescent="0.25">
      <c r="A4" s="39" t="s">
        <v>44</v>
      </c>
      <c r="B4" s="22">
        <v>46237</v>
      </c>
      <c r="C4" s="5">
        <v>0.33333333333333331</v>
      </c>
      <c r="D4" s="37">
        <v>0.75</v>
      </c>
      <c r="E4" s="4">
        <f t="shared" ref="E4" si="0">D4-C4</f>
        <v>0.41666666666666669</v>
      </c>
      <c r="F4" s="8">
        <v>0.41666666666666669</v>
      </c>
      <c r="G4" s="8">
        <v>0.33333333333333331</v>
      </c>
      <c r="H4" s="4">
        <f t="shared" ref="H4:H18" si="1">E4-F4</f>
        <v>0</v>
      </c>
      <c r="I4" s="14"/>
      <c r="J4" s="23" t="s">
        <v>38</v>
      </c>
      <c r="K4" s="42"/>
      <c r="L4" s="48"/>
      <c r="N4" s="14" t="s">
        <v>11</v>
      </c>
      <c r="O4" s="15">
        <v>0.35416666666666669</v>
      </c>
      <c r="P4" t="s">
        <v>18</v>
      </c>
      <c r="Q4" s="15">
        <v>0.35416666666666669</v>
      </c>
      <c r="R4" t="s">
        <v>18</v>
      </c>
    </row>
    <row r="5" spans="1:18" ht="24" x14ac:dyDescent="0.25">
      <c r="A5" s="2" t="s">
        <v>44</v>
      </c>
      <c r="B5" s="3">
        <v>46238</v>
      </c>
      <c r="C5" s="6">
        <v>0.33333333333333331</v>
      </c>
      <c r="D5" s="37">
        <v>0.66666666666666663</v>
      </c>
      <c r="E5" s="4">
        <f>D5-C5</f>
        <v>0.33333333333333331</v>
      </c>
      <c r="F5" s="8">
        <v>0.33333333333333331</v>
      </c>
      <c r="G5" s="8">
        <v>0.33333333333333331</v>
      </c>
      <c r="H5" s="4">
        <f t="shared" si="1"/>
        <v>0</v>
      </c>
      <c r="I5" s="14"/>
      <c r="J5" s="18" t="s">
        <v>10</v>
      </c>
      <c r="K5" s="47"/>
      <c r="N5" s="14" t="s">
        <v>12</v>
      </c>
      <c r="O5" s="15">
        <v>0.33333333333333331</v>
      </c>
      <c r="P5" s="8" t="s">
        <v>17</v>
      </c>
      <c r="Q5" s="15">
        <v>0.35416666666666669</v>
      </c>
      <c r="R5" s="8" t="s">
        <v>18</v>
      </c>
    </row>
    <row r="6" spans="1:18" ht="24" x14ac:dyDescent="0.25">
      <c r="A6" s="39" t="s">
        <v>44</v>
      </c>
      <c r="B6" s="22">
        <v>46239</v>
      </c>
      <c r="C6" s="5">
        <v>0.32273148148148151</v>
      </c>
      <c r="D6" s="37">
        <v>0.50689814814814815</v>
      </c>
      <c r="E6" s="4">
        <f t="shared" ref="E6:E9" si="2">D6-C6</f>
        <v>0.18416666666666665</v>
      </c>
      <c r="F6" s="8">
        <v>0.35416666666666669</v>
      </c>
      <c r="G6" s="8">
        <v>0.33333333333333331</v>
      </c>
      <c r="H6" s="4">
        <f t="shared" si="1"/>
        <v>-0.17000000000000004</v>
      </c>
      <c r="I6" s="14"/>
      <c r="J6" s="18" t="s">
        <v>11</v>
      </c>
      <c r="K6" s="43"/>
      <c r="L6" s="43"/>
      <c r="N6" s="14" t="s">
        <v>13</v>
      </c>
      <c r="O6" s="15">
        <v>0.22916666666666666</v>
      </c>
      <c r="P6" t="s">
        <v>19</v>
      </c>
      <c r="Q6" s="15">
        <v>0.22916666666666666</v>
      </c>
      <c r="R6" t="s">
        <v>19</v>
      </c>
    </row>
    <row r="7" spans="1:18" ht="24" x14ac:dyDescent="0.25">
      <c r="A7" s="2" t="s">
        <v>44</v>
      </c>
      <c r="B7" s="3">
        <v>46240</v>
      </c>
      <c r="C7" s="6"/>
      <c r="D7" s="37"/>
      <c r="E7" s="4">
        <f t="shared" si="2"/>
        <v>0</v>
      </c>
      <c r="F7" s="8">
        <v>0.33333333333333331</v>
      </c>
      <c r="G7" s="8">
        <v>0.33333333333333331</v>
      </c>
      <c r="H7" s="4">
        <f t="shared" si="1"/>
        <v>-0.33333333333333331</v>
      </c>
      <c r="I7" s="14"/>
      <c r="J7" s="18" t="s">
        <v>12</v>
      </c>
      <c r="K7" s="43"/>
      <c r="L7" s="43"/>
    </row>
    <row r="8" spans="1:18" ht="24" x14ac:dyDescent="0.25">
      <c r="A8" s="39" t="s">
        <v>44</v>
      </c>
      <c r="B8" s="22">
        <v>46241</v>
      </c>
      <c r="C8" s="5"/>
      <c r="D8" s="5"/>
      <c r="E8" s="4">
        <f t="shared" si="2"/>
        <v>0</v>
      </c>
      <c r="F8" s="8">
        <v>0.22916666666666666</v>
      </c>
      <c r="G8" s="8">
        <v>0.33333333333333331</v>
      </c>
      <c r="H8" s="4">
        <f t="shared" si="1"/>
        <v>-0.22916666666666666</v>
      </c>
      <c r="I8" s="14"/>
      <c r="J8" s="18" t="s">
        <v>13</v>
      </c>
      <c r="K8" s="43"/>
      <c r="L8" s="43"/>
    </row>
    <row r="9" spans="1:18" ht="24" x14ac:dyDescent="0.25">
      <c r="A9" s="39" t="s">
        <v>44</v>
      </c>
      <c r="B9" s="22">
        <v>46244</v>
      </c>
      <c r="C9" s="5">
        <v>0.33333333333333331</v>
      </c>
      <c r="D9" s="37">
        <v>0.75</v>
      </c>
      <c r="E9" s="4">
        <f t="shared" si="2"/>
        <v>0.41666666666666669</v>
      </c>
      <c r="F9" s="8">
        <v>0.41666666666666669</v>
      </c>
      <c r="G9" s="8">
        <v>0.33333333333333331</v>
      </c>
      <c r="H9" s="4">
        <f t="shared" si="1"/>
        <v>0</v>
      </c>
      <c r="I9" s="14"/>
      <c r="J9" s="23" t="s">
        <v>38</v>
      </c>
      <c r="K9" s="43"/>
      <c r="L9" s="43"/>
    </row>
    <row r="10" spans="1:18" ht="24" x14ac:dyDescent="0.25">
      <c r="A10" s="39" t="s">
        <v>44</v>
      </c>
      <c r="B10" s="22">
        <v>46245</v>
      </c>
      <c r="C10" s="5">
        <v>0.33072916666666669</v>
      </c>
      <c r="D10" s="5">
        <v>0.66670138888888886</v>
      </c>
      <c r="E10" s="4">
        <f>D10-C10</f>
        <v>0.33597222222222217</v>
      </c>
      <c r="F10" s="8">
        <v>0.33333333333333331</v>
      </c>
      <c r="G10" s="8">
        <v>0.33333333333333331</v>
      </c>
      <c r="H10" s="4">
        <f t="shared" si="1"/>
        <v>2.6388888888888573E-3</v>
      </c>
      <c r="I10" s="14"/>
      <c r="J10" s="18" t="s">
        <v>10</v>
      </c>
      <c r="K10" s="43"/>
      <c r="L10" s="43"/>
    </row>
    <row r="11" spans="1:18" ht="24" x14ac:dyDescent="0.25">
      <c r="A11" s="2" t="s">
        <v>44</v>
      </c>
      <c r="B11" s="3">
        <v>46246</v>
      </c>
      <c r="C11" s="37">
        <v>0.32111111111111112</v>
      </c>
      <c r="D11" s="6">
        <v>0.66836805555555556</v>
      </c>
      <c r="E11" s="4">
        <f t="shared" ref="E11:E14" si="3">D11-C11</f>
        <v>0.34725694444444444</v>
      </c>
      <c r="F11" s="8">
        <v>0.35416666666666669</v>
      </c>
      <c r="G11" s="8">
        <v>0.33333333333333331</v>
      </c>
      <c r="H11" s="4">
        <f t="shared" si="1"/>
        <v>-6.9097222222222476E-3</v>
      </c>
      <c r="I11" s="14"/>
      <c r="J11" s="18" t="s">
        <v>11</v>
      </c>
      <c r="K11" s="43"/>
      <c r="L11" s="43"/>
    </row>
    <row r="12" spans="1:18" ht="24" x14ac:dyDescent="0.25">
      <c r="A12" s="39" t="s">
        <v>44</v>
      </c>
      <c r="B12" s="22">
        <v>46247</v>
      </c>
      <c r="C12" s="5">
        <v>0.33049768518518519</v>
      </c>
      <c r="D12" s="5">
        <v>0.69800925925925927</v>
      </c>
      <c r="E12" s="4">
        <f t="shared" si="3"/>
        <v>0.36751157407407409</v>
      </c>
      <c r="F12" s="8">
        <v>0.33333333333333331</v>
      </c>
      <c r="G12" s="8">
        <v>0.33333333333333331</v>
      </c>
      <c r="H12" s="4">
        <f t="shared" si="1"/>
        <v>3.4178240740740773E-2</v>
      </c>
      <c r="I12" s="14"/>
      <c r="J12" s="18" t="s">
        <v>12</v>
      </c>
      <c r="K12" s="43"/>
    </row>
    <row r="13" spans="1:18" ht="24" x14ac:dyDescent="0.25">
      <c r="A13" s="2" t="s">
        <v>44</v>
      </c>
      <c r="B13" s="3">
        <v>46248</v>
      </c>
      <c r="C13" s="6">
        <v>0.3291087962962963</v>
      </c>
      <c r="D13" s="6">
        <v>0.56731481481481483</v>
      </c>
      <c r="E13" s="4">
        <f t="shared" si="3"/>
        <v>0.23820601851851853</v>
      </c>
      <c r="F13" s="8">
        <v>0.22916666666666666</v>
      </c>
      <c r="G13" s="8">
        <v>0.33333333333333331</v>
      </c>
      <c r="H13" s="4">
        <f t="shared" si="1"/>
        <v>9.0393518518518678E-3</v>
      </c>
      <c r="I13" s="14"/>
      <c r="J13" s="18" t="s">
        <v>13</v>
      </c>
      <c r="K13" s="43"/>
      <c r="L13" s="43"/>
    </row>
    <row r="14" spans="1:18" ht="24" x14ac:dyDescent="0.25">
      <c r="A14" s="39" t="s">
        <v>44</v>
      </c>
      <c r="B14" s="22">
        <v>46251</v>
      </c>
      <c r="C14" s="5">
        <v>0.33333333333333331</v>
      </c>
      <c r="D14" s="37">
        <v>0.75</v>
      </c>
      <c r="E14" s="4">
        <f t="shared" si="3"/>
        <v>0.41666666666666669</v>
      </c>
      <c r="F14" s="8">
        <v>0.41666666666666669</v>
      </c>
      <c r="G14" s="8">
        <v>0.33333333333333331</v>
      </c>
      <c r="H14" s="4">
        <f t="shared" si="1"/>
        <v>0</v>
      </c>
      <c r="I14" s="14"/>
      <c r="J14" s="23" t="s">
        <v>38</v>
      </c>
      <c r="K14" s="43"/>
      <c r="L14" s="43"/>
    </row>
    <row r="15" spans="1:18" ht="24" x14ac:dyDescent="0.25">
      <c r="A15" s="2" t="s">
        <v>44</v>
      </c>
      <c r="B15" s="3">
        <v>46252</v>
      </c>
      <c r="C15" s="5">
        <v>0.33333333333333331</v>
      </c>
      <c r="D15" s="5">
        <v>0.66666666666666663</v>
      </c>
      <c r="E15" s="4">
        <f>D15-C15</f>
        <v>0.33333333333333331</v>
      </c>
      <c r="F15" s="8">
        <v>0.33333333333333331</v>
      </c>
      <c r="G15" s="8">
        <v>0.33333333333333331</v>
      </c>
      <c r="H15" s="4">
        <f t="shared" si="1"/>
        <v>0</v>
      </c>
      <c r="I15" s="14"/>
      <c r="J15" s="18" t="s">
        <v>10</v>
      </c>
      <c r="K15" s="43"/>
      <c r="L15" s="43"/>
    </row>
    <row r="16" spans="1:18" ht="24" x14ac:dyDescent="0.25">
      <c r="A16" s="2" t="s">
        <v>44</v>
      </c>
      <c r="B16" s="3">
        <v>46253</v>
      </c>
      <c r="C16" s="6">
        <v>0.33333333333333331</v>
      </c>
      <c r="D16" s="6">
        <v>0.6875</v>
      </c>
      <c r="E16" s="4">
        <f t="shared" ref="E16:E19" si="4">D16-C16</f>
        <v>0.35416666666666669</v>
      </c>
      <c r="F16" s="8">
        <v>0.35416666666666669</v>
      </c>
      <c r="G16" s="8">
        <v>0.33333333333333331</v>
      </c>
      <c r="H16" s="4">
        <f t="shared" si="1"/>
        <v>0</v>
      </c>
      <c r="I16" s="14"/>
      <c r="J16" s="18" t="s">
        <v>11</v>
      </c>
      <c r="K16" s="43"/>
      <c r="L16" s="43"/>
    </row>
    <row r="17" spans="1:12" ht="24" x14ac:dyDescent="0.25">
      <c r="A17" s="39" t="s">
        <v>44</v>
      </c>
      <c r="B17" s="22">
        <v>46258</v>
      </c>
      <c r="C17" s="5">
        <v>0.33333333333333331</v>
      </c>
      <c r="D17" s="37">
        <v>0.75</v>
      </c>
      <c r="E17" s="4">
        <f t="shared" si="4"/>
        <v>0.41666666666666669</v>
      </c>
      <c r="F17" s="8">
        <v>0.41666666666666669</v>
      </c>
      <c r="G17" s="8">
        <v>0.33333333333333331</v>
      </c>
      <c r="H17" s="4">
        <f t="shared" ref="H17:H22" si="5">E17-F17</f>
        <v>0</v>
      </c>
      <c r="I17" s="14"/>
      <c r="J17" s="23" t="s">
        <v>38</v>
      </c>
      <c r="K17" s="43"/>
      <c r="L17" s="43"/>
    </row>
    <row r="18" spans="1:12" ht="24" x14ac:dyDescent="0.25">
      <c r="A18" s="39" t="s">
        <v>44</v>
      </c>
      <c r="B18" s="22">
        <v>46259</v>
      </c>
      <c r="C18" s="5">
        <v>0.33333333333333331</v>
      </c>
      <c r="D18" s="5">
        <v>0.66666666666666663</v>
      </c>
      <c r="E18" s="4">
        <f>D18-C18</f>
        <v>0.33333333333333331</v>
      </c>
      <c r="F18" s="8">
        <v>0.33333333333333331</v>
      </c>
      <c r="G18" s="8">
        <v>0.33333333333333331</v>
      </c>
      <c r="H18" s="4">
        <f t="shared" si="5"/>
        <v>0</v>
      </c>
      <c r="I18" s="14"/>
      <c r="J18" s="18" t="s">
        <v>10</v>
      </c>
      <c r="K18" s="43"/>
      <c r="L18" s="43"/>
    </row>
    <row r="19" spans="1:12" ht="24" x14ac:dyDescent="0.25">
      <c r="A19" s="2" t="s">
        <v>44</v>
      </c>
      <c r="B19" s="3">
        <v>46260</v>
      </c>
      <c r="C19" s="5">
        <v>0.33217592592592593</v>
      </c>
      <c r="D19" s="37">
        <v>0.6817361111111111</v>
      </c>
      <c r="E19" s="4">
        <f t="shared" ref="E19:E22" si="6">D19-C19</f>
        <v>0.34956018518518517</v>
      </c>
      <c r="F19" s="8">
        <v>0.35416666666666669</v>
      </c>
      <c r="G19" s="8">
        <v>0.33333333333333331</v>
      </c>
      <c r="H19" s="4">
        <f t="shared" si="5"/>
        <v>-4.6064814814815169E-3</v>
      </c>
      <c r="I19" s="14"/>
      <c r="J19" s="18" t="s">
        <v>11</v>
      </c>
      <c r="K19" s="43"/>
      <c r="L19" s="43"/>
    </row>
    <row r="20" spans="1:12" ht="24" x14ac:dyDescent="0.25">
      <c r="A20" s="39" t="s">
        <v>44</v>
      </c>
      <c r="B20" s="22">
        <v>46261</v>
      </c>
      <c r="C20" s="6">
        <v>0.32892361111111112</v>
      </c>
      <c r="D20" s="6">
        <v>0.68184027777777778</v>
      </c>
      <c r="E20" s="4">
        <f t="shared" si="6"/>
        <v>0.35291666666666666</v>
      </c>
      <c r="F20" s="8">
        <v>0.33333333333333331</v>
      </c>
      <c r="G20" s="8">
        <v>0.33333333333333331</v>
      </c>
      <c r="H20" s="4">
        <f t="shared" si="5"/>
        <v>1.9583333333333341E-2</v>
      </c>
      <c r="I20" s="14"/>
      <c r="J20" s="18" t="s">
        <v>12</v>
      </c>
      <c r="K20" s="43"/>
    </row>
    <row r="21" spans="1:12" ht="24" x14ac:dyDescent="0.25">
      <c r="A21" s="2" t="s">
        <v>44</v>
      </c>
      <c r="B21" s="3">
        <v>46262</v>
      </c>
      <c r="C21" s="5">
        <v>0.33181712962962961</v>
      </c>
      <c r="D21" s="5">
        <v>0.5728240740740741</v>
      </c>
      <c r="E21" s="4">
        <f t="shared" si="6"/>
        <v>0.24100694444444448</v>
      </c>
      <c r="F21" s="8">
        <v>0.22916666666666666</v>
      </c>
      <c r="G21" s="8">
        <v>0.33333333333333331</v>
      </c>
      <c r="H21" s="4">
        <f t="shared" si="5"/>
        <v>1.1840277777777825E-2</v>
      </c>
      <c r="I21" s="14"/>
      <c r="J21" s="18" t="s">
        <v>13</v>
      </c>
      <c r="K21" s="43"/>
      <c r="L21" s="43"/>
    </row>
    <row r="22" spans="1:12" ht="24" x14ac:dyDescent="0.25">
      <c r="A22" s="39" t="s">
        <v>44</v>
      </c>
      <c r="B22" s="22">
        <v>46265</v>
      </c>
      <c r="C22" s="6">
        <v>0.33056712962962964</v>
      </c>
      <c r="D22" s="37">
        <v>0.73050925925925925</v>
      </c>
      <c r="E22" s="4">
        <f t="shared" si="6"/>
        <v>0.39994212962962961</v>
      </c>
      <c r="F22" s="8">
        <v>0.41666666666666669</v>
      </c>
      <c r="G22" s="8">
        <v>0.33333333333333331</v>
      </c>
      <c r="H22" s="4">
        <f t="shared" si="5"/>
        <v>-1.6724537037037079E-2</v>
      </c>
      <c r="I22" s="14"/>
      <c r="J22" s="23" t="s">
        <v>38</v>
      </c>
      <c r="K22" s="43"/>
      <c r="L22" s="43"/>
    </row>
    <row r="23" spans="1:12" ht="24" x14ac:dyDescent="0.25">
      <c r="A23" s="27" t="s">
        <v>29</v>
      </c>
      <c r="H23" s="46">
        <f>H22+'2026.05'!H23</f>
        <v>-1.6724537037037079E-2</v>
      </c>
      <c r="K23" s="48"/>
      <c r="L23" s="49" t="s">
        <v>51</v>
      </c>
    </row>
  </sheetData>
  <mergeCells count="3">
    <mergeCell ref="A1:D1"/>
    <mergeCell ref="E1:H2"/>
    <mergeCell ref="A2:D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8</vt:i4>
      </vt:variant>
    </vt:vector>
  </HeadingPairs>
  <TitlesOfParts>
    <vt:vector size="8" baseType="lpstr">
      <vt:lpstr>2026.01</vt:lpstr>
      <vt:lpstr>2026.02</vt:lpstr>
      <vt:lpstr>2026. 03.</vt:lpstr>
      <vt:lpstr>2026. 04.</vt:lpstr>
      <vt:lpstr>2026.05</vt:lpstr>
      <vt:lpstr>2026. 06.</vt:lpstr>
      <vt:lpstr>2026. 07.</vt:lpstr>
      <vt:lpstr>2026. 08.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2026-09-03T13:33:28Z</dcterms:modified>
</cp:coreProperties>
</file>